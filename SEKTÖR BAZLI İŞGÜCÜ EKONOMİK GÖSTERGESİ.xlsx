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cosar\Desktop\glr\"/>
    </mc:Choice>
  </mc:AlternateContent>
  <xr:revisionPtr revIDLastSave="0" documentId="8_{BB6892AA-825C-467C-BEB3-C50607FDB981}" xr6:coauthVersionLast="47" xr6:coauthVersionMax="47" xr10:uidLastSave="{00000000-0000-0000-0000-000000000000}"/>
  <bookViews>
    <workbookView xWindow="-108" yWindow="-108" windowWidth="23256" windowHeight="12456" xr2:uid="{D76CB051-F944-475B-A4A3-0F8A9268E019}"/>
  </bookViews>
  <sheets>
    <sheet name="I.2.14" sheetId="1" r:id="rId1"/>
    <sheet name="TABLO-1.12" sheetId="2" r:id="rId2"/>
    <sheet name="TABLO-1.13" sheetId="3" r:id="rId3"/>
  </sheets>
  <externalReferences>
    <externalReference r:id="rId4"/>
    <externalReference r:id="rId5"/>
  </externalReferences>
  <definedNames>
    <definedName name="_">#REF!</definedName>
    <definedName name="bn" hidden="1">{"'içindekiler'!$B$2:$C$67"}</definedName>
    <definedName name="CAL">#REF!</definedName>
    <definedName name="cari">#REF!</definedName>
    <definedName name="_xlnm.Database">#REF!</definedName>
    <definedName name="DOL">#REF!</definedName>
    <definedName name="döviz">#REF!</definedName>
    <definedName name="e">#REF!</definedName>
    <definedName name="gecelik">#REF!</definedName>
    <definedName name="gsmh">#REF!</definedName>
    <definedName name="haz">#REF!</definedName>
    <definedName name="hazdet">#REF!</definedName>
    <definedName name="Hazfaiz">'[1]son dönem özet tablo'!#REF!</definedName>
    <definedName name="hazfaizd">#REF!</definedName>
    <definedName name="HTML_CodePage" hidden="1">1254</definedName>
    <definedName name="HTML_Control" hidden="1">{"'içindekiler'!$B$2:$C$67"}</definedName>
    <definedName name="HTML_Description" hidden="1">""</definedName>
    <definedName name="HTML_Email" hidden="1">""</definedName>
    <definedName name="HTML_Header" hidden="1">"içindekiler"</definedName>
    <definedName name="HTML_LastUpdate" hidden="1">"27.04.2001"</definedName>
    <definedName name="HTML_LineAfter" hidden="1">FALSE</definedName>
    <definedName name="HTML_LineBefore" hidden="1">FALSE</definedName>
    <definedName name="HTML_Name" hidden="1">"Nuri Akman"</definedName>
    <definedName name="HTML_OBDlg2" hidden="1">TRUE</definedName>
    <definedName name="HTML_OBDlg4" hidden="1">TRUE</definedName>
    <definedName name="HTML_OS" hidden="1">0</definedName>
    <definedName name="HTML_PathFile" hidden="1">"C:\test.htm"</definedName>
    <definedName name="HTML_Title" hidden="1">"Ekonomik Gostergeler (EKA)-test"</definedName>
    <definedName name="liste">#REF!</definedName>
    <definedName name="PAK">#REF!</definedName>
    <definedName name="_xlnm.Print_Area" localSheetId="0">'I.2.14'!$A$2:$S$118</definedName>
    <definedName name="_xlnm.Print_Area" localSheetId="1">'TABLO-1.12'!$A$4:$P$99</definedName>
    <definedName name="_xlnm.Print_Area" localSheetId="2">'TABLO-1.13'!$A$4:$P$99</definedName>
    <definedName name="SAM">#REF!</definedName>
    <definedName name="Tablo_1.14__5510_Sayılı_Kanunun_4_1_a_Maddesi_Kapsamındaki_İşyerlerinin_İşyeri_Büyüklüklerine_ve_İllere_Göre_Dağılımı__2018" localSheetId="2">[2]İÇİNDEKİLER!#REF!,[2]İÇİNDEKİLER!#REF!</definedName>
    <definedName name="TAM">#REF!</definedName>
    <definedName name="TAT">#REF!</definedName>
    <definedName name="TOPLAM">#REF!</definedName>
    <definedName name="tuba">#REF!</definedName>
    <definedName name="TUFE">'[1]son dönem özet tablo'!#REF!</definedName>
    <definedName name="tufed">#REF!</definedName>
    <definedName name="tüfeza">#REF!</definedName>
    <definedName name="YAM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8" i="3" l="1"/>
  <c r="N98" i="3"/>
  <c r="M98" i="3"/>
  <c r="L98" i="3"/>
  <c r="K98" i="3"/>
  <c r="J98" i="3"/>
  <c r="I98" i="3"/>
  <c r="H98" i="3"/>
  <c r="G98" i="3"/>
  <c r="F98" i="3"/>
  <c r="E98" i="3"/>
  <c r="D98" i="3"/>
  <c r="C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98" i="2" l="1"/>
  <c r="P98" i="3"/>
</calcChain>
</file>

<file path=xl/sharedStrings.xml><?xml version="1.0" encoding="utf-8"?>
<sst xmlns="http://schemas.openxmlformats.org/spreadsheetml/2006/main" count="669" uniqueCount="275">
  <si>
    <t>TABLO I.2.14. İKTİSADİ FAALİYET KOLLARINA GÖRE GELİR YÖNTEMİYLE GAYRİSAFİ YURTİÇİ HASILA (CARİ FİYATLARLA)</t>
  </si>
  <si>
    <t>TABLE I.2.14. GROSS DOMESTIC PRODUCT BY KIND OF ECONOMIC ACTIVITY, INCOME APPROACH (IN CURRENT PRICES)</t>
  </si>
  <si>
    <t xml:space="preserve">                       (Milyar TL)</t>
  </si>
  <si>
    <t>(Billion TL)</t>
  </si>
  <si>
    <t>İktisadi Faaliyet Kolları (Nace Rev 2)</t>
  </si>
  <si>
    <t>Kind of economic activity (NACE Rev 2)</t>
  </si>
  <si>
    <t>Gayrisafi Yurtiçi Hasıla</t>
  </si>
  <si>
    <t xml:space="preserve">Gross Domestic Product </t>
  </si>
  <si>
    <t>Ürün Üzerindeki Vergi Eksi Sübv.</t>
  </si>
  <si>
    <t>Taxes less subsidies on products</t>
  </si>
  <si>
    <t>Sektör Toplamı</t>
  </si>
  <si>
    <t>Gayrisafi Katma Değer</t>
  </si>
  <si>
    <t>Gross Value Added</t>
  </si>
  <si>
    <t>Total</t>
  </si>
  <si>
    <t>İşgücüne Yapılan Ödemeler</t>
  </si>
  <si>
    <t>Compensation of employees</t>
  </si>
  <si>
    <t>Üretim Üzerindeki Vergiler</t>
  </si>
  <si>
    <t>Taxes on production</t>
  </si>
  <si>
    <t>Üretim Üzerindeki Sübvansiyonlar</t>
  </si>
  <si>
    <t>Subsidies on production</t>
  </si>
  <si>
    <t>İşletme Artığı/Karma Gelir; Brüt</t>
  </si>
  <si>
    <t xml:space="preserve">Gross operating surplus/mixed income </t>
  </si>
  <si>
    <t>Sabit Sermaye Tüketimi</t>
  </si>
  <si>
    <t>Consumption of fixed capital</t>
  </si>
  <si>
    <t>İşletme Artığı/Karma Gelir; Net</t>
  </si>
  <si>
    <t xml:space="preserve">Net operating surplus/mixed income </t>
  </si>
  <si>
    <t xml:space="preserve">Tarım, Ormancılık ve Balıkçılık </t>
  </si>
  <si>
    <t>Agriculture, forestry and fishing</t>
  </si>
  <si>
    <t xml:space="preserve">Madencilik ve Taşocakçılığı </t>
  </si>
  <si>
    <t>Mining and quarrying</t>
  </si>
  <si>
    <t>İmalat Sanayi</t>
  </si>
  <si>
    <t>Manufacturing</t>
  </si>
  <si>
    <t>Elektrik, Gaz, Buhar ve İklimlendirme Üretimi ve Dağıtımı</t>
  </si>
  <si>
    <t>Electricity, gas, steam and air conditioning supply</t>
  </si>
  <si>
    <t xml:space="preserve">Su Temini; Kanalizasyon, Atık Yönetimi ve İyileştirme Faal. </t>
  </si>
  <si>
    <t>Water supply, sewerage, waste management and remediation act.</t>
  </si>
  <si>
    <t xml:space="preserve">İnşaat </t>
  </si>
  <si>
    <t>Construction</t>
  </si>
  <si>
    <t xml:space="preserve">Toptan ve Perakende Ticaret </t>
  </si>
  <si>
    <t>Wholesale and retail trade</t>
  </si>
  <si>
    <t xml:space="preserve">Ulaştırma, Depolama  </t>
  </si>
  <si>
    <t>Transport, storage</t>
  </si>
  <si>
    <t xml:space="preserve">Konaklama ve Yiyecek Hizmeti Faaliyetleri </t>
  </si>
  <si>
    <t>Accomodation and food service activities</t>
  </si>
  <si>
    <t xml:space="preserve">Bilgi ve İletişim </t>
  </si>
  <si>
    <t>Information and communication</t>
  </si>
  <si>
    <t xml:space="preserve">Finans ve Sigorta Faaliyetleri </t>
  </si>
  <si>
    <t>Financial and insurance activities</t>
  </si>
  <si>
    <t xml:space="preserve">Gayrimenkul Faaliyetleri  </t>
  </si>
  <si>
    <t>Real estate activities</t>
  </si>
  <si>
    <t xml:space="preserve">Mesleki, Bilimsel ve Teknik Faaliyetler </t>
  </si>
  <si>
    <t>Professional, scientific and technical activities</t>
  </si>
  <si>
    <t xml:space="preserve">İdari ve Destek Hizmet Faaliyetleri </t>
  </si>
  <si>
    <t>Administrative and support service activities</t>
  </si>
  <si>
    <t xml:space="preserve">Kamu Yönetimi ve Savunma; Zorunlu Sosyal Güvenlik </t>
  </si>
  <si>
    <t>Public administration and defence; compulsory social security</t>
  </si>
  <si>
    <t xml:space="preserve">Eğitim </t>
  </si>
  <si>
    <t>Education</t>
  </si>
  <si>
    <t xml:space="preserve">İnsan Sağlığı ve Sosyal Hizmet Faaliyetleri  </t>
  </si>
  <si>
    <t>Human health and social work activities</t>
  </si>
  <si>
    <t>Kültür, Sanat, Eğlence, Dinlence ve Spor</t>
  </si>
  <si>
    <t>Arts, entertaintment and recreation</t>
  </si>
  <si>
    <t xml:space="preserve">Diğer Hizmet Faaliyetleri </t>
  </si>
  <si>
    <t>Other service activities</t>
  </si>
  <si>
    <t xml:space="preserve">Hanehalklarının İşverenler Olarak Faaliyetleri </t>
  </si>
  <si>
    <t>Activities of household as employers</t>
  </si>
  <si>
    <t>Kaynak: TÜİK</t>
  </si>
  <si>
    <t>Source: TURKSTAT</t>
  </si>
  <si>
    <t>TABLO 1.12- 4/1-a KAPSAMINDAKİ İŞ YERLERİNİN FAALİYET GRUBU VE İŞ YERİ BÜYÜKLÜĞÜNE GÖRE DAĞILIMI, 2024</t>
  </si>
  <si>
    <t>Table 1.12- Distribution of the Work Places by Activity Branche and Size [Under Article 4/1-a of Act 5510], 2024</t>
  </si>
  <si>
    <r>
      <t xml:space="preserve">Faaliyet kodu
</t>
    </r>
    <r>
      <rPr>
        <sz val="9"/>
        <rFont val="Arial"/>
        <family val="2"/>
        <charset val="162"/>
      </rPr>
      <t>Activity code</t>
    </r>
  </si>
  <si>
    <r>
      <rPr>
        <b/>
        <sz val="9"/>
        <rFont val="Arial"/>
        <family val="2"/>
        <charset val="162"/>
      </rPr>
      <t>NACE Rev. 2 sınıflamasına göre faaliyet grupları</t>
    </r>
    <r>
      <rPr>
        <sz val="9"/>
        <rFont val="Arial"/>
        <family val="2"/>
        <charset val="162"/>
      </rPr>
      <t xml:space="preserve">
Groups of activity, according to Rev.2 of NACE classification</t>
    </r>
  </si>
  <si>
    <r>
      <t xml:space="preserve">İş Yeri
</t>
    </r>
    <r>
      <rPr>
        <sz val="9"/>
        <rFont val="Arial"/>
        <family val="2"/>
        <charset val="162"/>
      </rPr>
      <t>Work place</t>
    </r>
  </si>
  <si>
    <r>
      <t xml:space="preserve">Toplam
</t>
    </r>
    <r>
      <rPr>
        <sz val="9"/>
        <rFont val="Arial"/>
        <family val="2"/>
        <charset val="162"/>
      </rPr>
      <t>Total</t>
    </r>
  </si>
  <si>
    <r>
      <t xml:space="preserve">   İş yeri büyüklüğü (İş yerinde çalıştırılan zorunlu sigortalı sayısı) 
</t>
    </r>
    <r>
      <rPr>
        <sz val="9"/>
        <rFont val="Arial"/>
        <family val="2"/>
        <charset val="162"/>
      </rPr>
      <t>Size of work place (Number of compulsory insured employees in work places)</t>
    </r>
  </si>
  <si>
    <t>1</t>
  </si>
  <si>
    <t>2-3</t>
  </si>
  <si>
    <t>4-6</t>
  </si>
  <si>
    <t>7-9</t>
  </si>
  <si>
    <t>10-19</t>
  </si>
  <si>
    <t>20-29</t>
  </si>
  <si>
    <t>30-49</t>
  </si>
  <si>
    <t>50-99</t>
  </si>
  <si>
    <t>100-249</t>
  </si>
  <si>
    <t>250-499</t>
  </si>
  <si>
    <t>500-749</t>
  </si>
  <si>
    <t>750-999</t>
  </si>
  <si>
    <t>1000+</t>
  </si>
  <si>
    <t>01</t>
  </si>
  <si>
    <t>Bitkisel ve hayvansal üretim ile avcılık ve ilgili hizmet faaliyetleri</t>
  </si>
  <si>
    <t>02</t>
  </si>
  <si>
    <t>Ormancılık ile endüstriyel ve yakacak odun üretimi</t>
  </si>
  <si>
    <t>03</t>
  </si>
  <si>
    <t>Balıkçılık ve su ürünleri yetiştiriciliği</t>
  </si>
  <si>
    <t>05</t>
  </si>
  <si>
    <t>Kömür ve linyit çıkartılması</t>
  </si>
  <si>
    <t>06</t>
  </si>
  <si>
    <t>Ham petrol ve doğal gaz çıkarımı</t>
  </si>
  <si>
    <t>07</t>
  </si>
  <si>
    <t>Metal cevherleri madenciliği</t>
  </si>
  <si>
    <t>08</t>
  </si>
  <si>
    <t>Diğer madencilik ve taş ocakçılığı</t>
  </si>
  <si>
    <t>09</t>
  </si>
  <si>
    <t>Madenciliği destekleyici hizmet faaliyetleri</t>
  </si>
  <si>
    <t>10</t>
  </si>
  <si>
    <t>Gıda ürünlerinin imalatı</t>
  </si>
  <si>
    <t>11</t>
  </si>
  <si>
    <t>İçeceklerin imalatı</t>
  </si>
  <si>
    <t>12</t>
  </si>
  <si>
    <t>Tütün ürünleri imalatı</t>
  </si>
  <si>
    <t>13</t>
  </si>
  <si>
    <t>Tekstil ürünlerinin imalatı</t>
  </si>
  <si>
    <t>14</t>
  </si>
  <si>
    <t>Giyim eşyalarının imalatı</t>
  </si>
  <si>
    <t>15</t>
  </si>
  <si>
    <t>Deri ve ilgili ürünlerin imalatı</t>
  </si>
  <si>
    <t>16</t>
  </si>
  <si>
    <t>Ağaç, ağaç ürünleri ve mantar ürünleri imalatı (mobilya hariç); saz, saman ve benzeri malzemelerden örülerek yapılan eşyaların imalatı</t>
  </si>
  <si>
    <t>17</t>
  </si>
  <si>
    <t>Kağıt ve kağıt ürünlerinin imalatı</t>
  </si>
  <si>
    <t>18</t>
  </si>
  <si>
    <t>Kayıtlı medyanın basılması ve çoğaltılması</t>
  </si>
  <si>
    <t>19</t>
  </si>
  <si>
    <t>Kok kömürü ve rafine edilmiş petrol ürünleri imalatı</t>
  </si>
  <si>
    <t>20</t>
  </si>
  <si>
    <t>Kimyasalların ve kimyasal ürünlerin imalatı</t>
  </si>
  <si>
    <t>21</t>
  </si>
  <si>
    <t>Temel eczacılık ürünlerinin ve eczacılığa ilişkin malzemelerin imalatı</t>
  </si>
  <si>
    <t>22</t>
  </si>
  <si>
    <t>Kauçuk ve plastik ürünlerin imalatı</t>
  </si>
  <si>
    <t>23</t>
  </si>
  <si>
    <t>Diğer metalik olmayan mineral ürünlerin imalatı</t>
  </si>
  <si>
    <t>24</t>
  </si>
  <si>
    <t>Ana metal sanayii</t>
  </si>
  <si>
    <t>25</t>
  </si>
  <si>
    <t>Fabrikasyon metal ürünleri imalatı (makine ve teçhizat hariç)</t>
  </si>
  <si>
    <t>26</t>
  </si>
  <si>
    <t>Bilgisayarların, elektronik ve optik ürünlerin imalatı</t>
  </si>
  <si>
    <t>27</t>
  </si>
  <si>
    <t>Elektrikli teçhizat imalatı</t>
  </si>
  <si>
    <t>28</t>
  </si>
  <si>
    <t>Başka yerde sınıflandırılmamış makine ve ekipman imalatı</t>
  </si>
  <si>
    <t>29</t>
  </si>
  <si>
    <t>Motorlu kara taşıtı, treyler (römork) ve yarı treyler (yarı römork) imalatı</t>
  </si>
  <si>
    <t>30</t>
  </si>
  <si>
    <t>Diğer ulaşım araçlarının imalatı</t>
  </si>
  <si>
    <t>31</t>
  </si>
  <si>
    <t>Mobilya imalatı</t>
  </si>
  <si>
    <t>32</t>
  </si>
  <si>
    <t>Diğer imalatlar</t>
  </si>
  <si>
    <t>33</t>
  </si>
  <si>
    <t>Makine ve ekipmanların kurulumu ve onarımı</t>
  </si>
  <si>
    <t>35</t>
  </si>
  <si>
    <t>Elektrik, gaz, buhar ve havalandırma sistemi üretim ve dağıtımı</t>
  </si>
  <si>
    <t>36</t>
  </si>
  <si>
    <t>Suyun toplanması, arıtılması ve dağıtılması</t>
  </si>
  <si>
    <t>37</t>
  </si>
  <si>
    <t>Kanalizasyon</t>
  </si>
  <si>
    <t>38</t>
  </si>
  <si>
    <t>Atığın toplanması, ıslahı ve bertarafı faaliyetleri; maddelerin geri kazanımı</t>
  </si>
  <si>
    <t>39</t>
  </si>
  <si>
    <t>İyileştirme faaliyetleri ve diğer atık yönetimi hizmetleri</t>
  </si>
  <si>
    <t>41</t>
  </si>
  <si>
    <t>Bina inşaatı</t>
  </si>
  <si>
    <t>42</t>
  </si>
  <si>
    <t>Bina dışı yapıların inşaatı</t>
  </si>
  <si>
    <t>43</t>
  </si>
  <si>
    <t>Özel inşaat faaliyetleri</t>
  </si>
  <si>
    <t>45</t>
  </si>
  <si>
    <t>Motorlu kara taşıtlarının ve motosikletlerin toptan ve perakende ticareti ile onarımı</t>
  </si>
  <si>
    <t>46</t>
  </si>
  <si>
    <t>Toptan ticaret (Motorlu kara taşıtları ve motosikletler hariç)</t>
  </si>
  <si>
    <t>47</t>
  </si>
  <si>
    <t>Perakende ticaret (Motorlu kara taşıtları ve motosikletler hariç)</t>
  </si>
  <si>
    <t>49</t>
  </si>
  <si>
    <t>Kara taşımacılığı ve boru hattı taşımacılığı</t>
  </si>
  <si>
    <t>50</t>
  </si>
  <si>
    <t>Su yolu taşımacılığı</t>
  </si>
  <si>
    <t>51</t>
  </si>
  <si>
    <t>Hava yolu taşımacılığı</t>
  </si>
  <si>
    <t>52</t>
  </si>
  <si>
    <t>Taşımacılık için depolama ve destekleyici faaliyetler</t>
  </si>
  <si>
    <t>53</t>
  </si>
  <si>
    <t>Posta ve kurye faaliyetleri</t>
  </si>
  <si>
    <t>55</t>
  </si>
  <si>
    <t>Konaklama</t>
  </si>
  <si>
    <t>56</t>
  </si>
  <si>
    <t>Yiyecek ve içecek hizmeti faaliyetleri</t>
  </si>
  <si>
    <t>58</t>
  </si>
  <si>
    <t>Yayımcılık faaliyetleri</t>
  </si>
  <si>
    <t>59</t>
  </si>
  <si>
    <t>Sinema filmi, video ve televizyon programları yapımcılığı, ses kaydı ve müzik yayımlama faaliyetleri</t>
  </si>
  <si>
    <t>60</t>
  </si>
  <si>
    <t>Programcılık ve yayıncılık faaliyetleri</t>
  </si>
  <si>
    <t>61</t>
  </si>
  <si>
    <t>Telekomünikasyon</t>
  </si>
  <si>
    <t>62</t>
  </si>
  <si>
    <t>Bilgisayar programlama, danışmanlık ve ilgili faaliyetler</t>
  </si>
  <si>
    <t>63</t>
  </si>
  <si>
    <t>Bilgi hizmet faaliyetleri</t>
  </si>
  <si>
    <t>64</t>
  </si>
  <si>
    <t>Finansal hizmet faaliyetleri (Sigorta ve emeklilik fonları hariç)</t>
  </si>
  <si>
    <t>65</t>
  </si>
  <si>
    <t>Sigorta, reasürans ve emeklilik fonları (Zorunlu sosyal güvenlik hariç)</t>
  </si>
  <si>
    <t>66</t>
  </si>
  <si>
    <t>Finansal hizmetler ile sigorta faaliyetleri için yardımcı faaliyetler</t>
  </si>
  <si>
    <t>68</t>
  </si>
  <si>
    <t>Gayrimenkul faaliyetleri</t>
  </si>
  <si>
    <t>69</t>
  </si>
  <si>
    <t>Hukuk ve muhasebe faaliyetleri</t>
  </si>
  <si>
    <t>70</t>
  </si>
  <si>
    <t>İdare merkezi faaliyetleri; idari danışmanlık faaliyetleri</t>
  </si>
  <si>
    <t>71</t>
  </si>
  <si>
    <t>Mimarlık ve mühendislik faaliyetleri; teknik test ve analiz faaliyetleri</t>
  </si>
  <si>
    <t>72</t>
  </si>
  <si>
    <t>Bilimsel araştırma ve geliştirme faaliyetleri</t>
  </si>
  <si>
    <t>73</t>
  </si>
  <si>
    <t>Reklamcılık ve piyasa araştırması</t>
  </si>
  <si>
    <t>74</t>
  </si>
  <si>
    <t>Diğer mesleki, bilimsel ve teknik faaliyetler</t>
  </si>
  <si>
    <t>75</t>
  </si>
  <si>
    <t>Veterinerlik hizmetleri</t>
  </si>
  <si>
    <t>77</t>
  </si>
  <si>
    <t>Kiralama ve leasing faaliyetleri</t>
  </si>
  <si>
    <t>78</t>
  </si>
  <si>
    <t>İstihdam faaliyetleri</t>
  </si>
  <si>
    <t>79</t>
  </si>
  <si>
    <t>Seyahat acentesi, tur operatörü ve diğer rezervasyon hizmetleri ve ilgili faaliyetler</t>
  </si>
  <si>
    <t>80</t>
  </si>
  <si>
    <t>Güvenlik ve soruşturma faaliyetleri</t>
  </si>
  <si>
    <t>81</t>
  </si>
  <si>
    <t>Binalar ile ilgili hizmetler ve çevre düzenlemesi faaliyetleri</t>
  </si>
  <si>
    <t>82</t>
  </si>
  <si>
    <t>Büro yönetimi, büro destek ve iş destek faaliyetleri</t>
  </si>
  <si>
    <t>84</t>
  </si>
  <si>
    <t>Kamu yönetimi ve savunma; zorunlu sosyal güvenlik</t>
  </si>
  <si>
    <t>85</t>
  </si>
  <si>
    <t>Eğitim</t>
  </si>
  <si>
    <t>86</t>
  </si>
  <si>
    <t>İnsan sağlığı hizmetleri</t>
  </si>
  <si>
    <t>87</t>
  </si>
  <si>
    <t>Yatılı bakım faaliyetleri</t>
  </si>
  <si>
    <t>88</t>
  </si>
  <si>
    <t>Barınacak yer sağlanmaksızın verilen sosyal hizmetler</t>
  </si>
  <si>
    <t>90</t>
  </si>
  <si>
    <t>Yaratıcı sanatlar, gösteri sanatları ve eğlence faaliyetleri</t>
  </si>
  <si>
    <t>91</t>
  </si>
  <si>
    <t>Kütüphaneler, arşivler, müzeler ve diğer kültürel faaliyetler</t>
  </si>
  <si>
    <t>92</t>
  </si>
  <si>
    <t>Kumar ve müşterek bahis faaliyetleri</t>
  </si>
  <si>
    <t>93</t>
  </si>
  <si>
    <t>Spor faaliyetleri, eğlence ve dinlence faaliyetleri</t>
  </si>
  <si>
    <t>94</t>
  </si>
  <si>
    <t>Üye olunan kuruluşların faaliyetleri</t>
  </si>
  <si>
    <t>95</t>
  </si>
  <si>
    <t>Bilgisayarların, kişisel eşyaların ve ev eşyalarının onarımı</t>
  </si>
  <si>
    <t>96</t>
  </si>
  <si>
    <t>Diğer hizmet faaliyetleri</t>
  </si>
  <si>
    <t>97</t>
  </si>
  <si>
    <t>Ev içi çalışan personelin işverenleri olarak hanehalklarının faaliyetleri</t>
  </si>
  <si>
    <t>98</t>
  </si>
  <si>
    <t>Hanehalkları tarafından kendi kullanımlarına yönelik olarak üretilen ayrım yapılmamış mal ve hizmetler</t>
  </si>
  <si>
    <t>99</t>
  </si>
  <si>
    <t>Uluslararası örgütler ve temsilciliklerinin faaliyetleri</t>
  </si>
  <si>
    <t>EK-9 Ev Hizmetlerinde 10 Günden Fazla Çalışanlar</t>
  </si>
  <si>
    <r>
      <t>Toplam -</t>
    </r>
    <r>
      <rPr>
        <b/>
        <i/>
        <sz val="9"/>
        <rFont val="Arial"/>
        <family val="2"/>
        <charset val="162"/>
      </rPr>
      <t xml:space="preserve"> </t>
    </r>
    <r>
      <rPr>
        <i/>
        <sz val="9"/>
        <rFont val="Arial"/>
        <family val="2"/>
        <charset val="162"/>
      </rPr>
      <t>Total</t>
    </r>
  </si>
  <si>
    <r>
      <t xml:space="preserve">Not:  Faaliyet gruplarının ingilizceleri ekte yer almaktadır.   </t>
    </r>
    <r>
      <rPr>
        <i/>
        <sz val="8"/>
        <rFont val="Arial"/>
        <family val="2"/>
        <charset val="162"/>
      </rPr>
      <t/>
    </r>
  </si>
  <si>
    <t>Note: See Appendix for the english name of branch of activities</t>
  </si>
  <si>
    <t>TABLO 1.13- 4/1-a KAPSAMINDAKİ ZORUNLU SİGORTALILARIN FAALİYET GRUBU VE İŞ YERİ BÜYÜKLÜĞÜNE GÖRE DAĞILIMI, 2024</t>
  </si>
  <si>
    <t>Table 1.13- Distribution of Compulsory Insured Persons by Activity Branche and Work Place Size [Under Article 4/1-a of Act 5510], 2024</t>
  </si>
  <si>
    <r>
      <t xml:space="preserve">Zorunlu sigortalı
</t>
    </r>
    <r>
      <rPr>
        <sz val="9"/>
        <rFont val="Arial"/>
        <family val="2"/>
        <charset val="162"/>
      </rPr>
      <t>Compulsory insured</t>
    </r>
  </si>
  <si>
    <t xml:space="preserve"> </t>
  </si>
  <si>
    <t>EK-9 Ev Hizmetlerinde  10 Günden 
 Fazla  Çalışanlar</t>
  </si>
  <si>
    <r>
      <t>Toplam-</t>
    </r>
    <r>
      <rPr>
        <sz val="9"/>
        <rFont val="Arial"/>
        <family val="2"/>
        <charset val="162"/>
      </rPr>
      <t>Total</t>
    </r>
  </si>
  <si>
    <r>
      <rPr>
        <b/>
        <sz val="9"/>
        <rFont val="Arial"/>
        <family val="2"/>
        <charset val="162"/>
      </rPr>
      <t>Not: 1- Faaliyet gruplarının ingilizceleri ekte yer almaktadır.</t>
    </r>
    <r>
      <rPr>
        <sz val="9"/>
        <rFont val="Arial"/>
        <family val="2"/>
        <charset val="162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</si>
</sst>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General_)"/>
    <numFmt numFmtId="166" formatCode="#,##0;[Red]#,##0"/>
    <numFmt numFmtId="167" formatCode="#,##0_ ;\-#,##0\ "/>
  </numFmts>
  <fonts count="23" x14ac:knownFonts="1">
    <font>
      <sz val="10"/>
      <name val="Times New Roman"/>
      <charset val="162"/>
    </font>
    <font>
      <b/>
      <sz val="24"/>
      <name val="Times New Roman"/>
      <family val="1"/>
    </font>
    <font>
      <sz val="20"/>
      <name val="Times New Roman"/>
      <family val="1"/>
      <charset val="162"/>
    </font>
    <font>
      <b/>
      <sz val="20"/>
      <name val="Times New Roman"/>
      <family val="1"/>
    </font>
    <font>
      <b/>
      <sz val="22"/>
      <name val="Times New Roman"/>
      <family val="1"/>
    </font>
    <font>
      <b/>
      <sz val="20"/>
      <name val="Times New Roman"/>
      <family val="1"/>
      <charset val="162"/>
    </font>
    <font>
      <sz val="10"/>
      <name val="Courier"/>
      <family val="3"/>
    </font>
    <font>
      <b/>
      <sz val="22"/>
      <name val="Times New Roman TUR"/>
      <family val="1"/>
      <charset val="162"/>
    </font>
    <font>
      <b/>
      <sz val="18"/>
      <name val="Times New Roman TUR"/>
      <family val="1"/>
      <charset val="162"/>
    </font>
    <font>
      <sz val="20"/>
      <name val="Times New Roman"/>
      <family val="1"/>
    </font>
    <font>
      <sz val="18"/>
      <name val="Times New Roman TUR"/>
      <charset val="162"/>
    </font>
    <font>
      <sz val="18"/>
      <name val="Times New Roman Tur"/>
      <family val="1"/>
      <charset val="162"/>
    </font>
    <font>
      <b/>
      <sz val="18"/>
      <name val="Times New Roman Tur"/>
      <charset val="162"/>
    </font>
    <font>
      <sz val="10"/>
      <name val="MS Sans Serif"/>
      <family val="2"/>
      <charset val="162"/>
    </font>
    <font>
      <sz val="10"/>
      <name val="Arial"/>
      <family val="2"/>
      <charset val="162"/>
    </font>
    <font>
      <sz val="9"/>
      <name val="Arial"/>
      <family val="2"/>
      <charset val="162"/>
    </font>
    <font>
      <b/>
      <sz val="11"/>
      <name val="Arial"/>
      <family val="2"/>
      <charset val="162"/>
    </font>
    <font>
      <b/>
      <sz val="9"/>
      <name val="Arial"/>
      <family val="2"/>
      <charset val="162"/>
    </font>
    <font>
      <sz val="10"/>
      <name val="Arial Tur"/>
      <charset val="162"/>
    </font>
    <font>
      <b/>
      <i/>
      <sz val="9"/>
      <name val="Arial"/>
      <family val="2"/>
      <charset val="162"/>
    </font>
    <font>
      <i/>
      <sz val="9"/>
      <name val="Arial"/>
      <family val="2"/>
      <charset val="162"/>
    </font>
    <font>
      <i/>
      <sz val="8"/>
      <name val="Arial"/>
      <family val="2"/>
      <charset val="162"/>
    </font>
    <font>
      <sz val="8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</borders>
  <cellStyleXfs count="6">
    <xf numFmtId="0" fontId="0" fillId="0" borderId="0"/>
    <xf numFmtId="165" fontId="6" fillId="0" borderId="0"/>
    <xf numFmtId="0" fontId="13" fillId="0" borderId="0"/>
    <xf numFmtId="0" fontId="14" fillId="0" borderId="0"/>
    <xf numFmtId="0" fontId="14" fillId="0" borderId="0"/>
    <xf numFmtId="0" fontId="18" fillId="0" borderId="0"/>
  </cellStyleXfs>
  <cellXfs count="9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4" xfId="0" applyFont="1" applyBorder="1"/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4" fillId="0" borderId="5" xfId="0" applyFont="1" applyBorder="1"/>
    <xf numFmtId="0" fontId="3" fillId="0" borderId="6" xfId="0" applyFont="1" applyBorder="1"/>
    <xf numFmtId="164" fontId="2" fillId="0" borderId="0" xfId="0" applyNumberFormat="1" applyFont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165" fontId="7" fillId="0" borderId="5" xfId="1" quotePrefix="1" applyFont="1" applyBorder="1" applyAlignment="1">
      <alignment horizontal="left" wrapText="1"/>
    </xf>
    <xf numFmtId="165" fontId="8" fillId="0" borderId="6" xfId="1" quotePrefix="1" applyFont="1" applyBorder="1" applyAlignment="1">
      <alignment horizontal="left" wrapText="1"/>
    </xf>
    <xf numFmtId="164" fontId="9" fillId="0" borderId="7" xfId="0" applyNumberFormat="1" applyFont="1" applyBorder="1" applyAlignment="1">
      <alignment horizontal="right"/>
    </xf>
    <xf numFmtId="165" fontId="7" fillId="0" borderId="5" xfId="1" quotePrefix="1" applyFont="1" applyBorder="1" applyAlignment="1">
      <alignment horizontal="center" wrapText="1"/>
    </xf>
    <xf numFmtId="165" fontId="8" fillId="0" borderId="9" xfId="1" quotePrefix="1" applyFont="1" applyBorder="1" applyAlignment="1">
      <alignment horizontal="left" wrapText="1"/>
    </xf>
    <xf numFmtId="164" fontId="2" fillId="0" borderId="10" xfId="0" applyNumberFormat="1" applyFont="1" applyBorder="1" applyAlignment="1">
      <alignment horizontal="right"/>
    </xf>
    <xf numFmtId="164" fontId="9" fillId="0" borderId="11" xfId="0" applyNumberFormat="1" applyFont="1" applyBorder="1" applyAlignment="1">
      <alignment horizontal="right"/>
    </xf>
    <xf numFmtId="165" fontId="10" fillId="0" borderId="6" xfId="1" quotePrefix="1" applyFont="1" applyBorder="1" applyAlignment="1">
      <alignment horizontal="left" wrapText="1"/>
    </xf>
    <xf numFmtId="165" fontId="8" fillId="0" borderId="13" xfId="1" quotePrefix="1" applyFont="1" applyBorder="1" applyAlignment="1">
      <alignment horizontal="left" wrapText="1"/>
    </xf>
    <xf numFmtId="164" fontId="2" fillId="0" borderId="14" xfId="0" applyNumberFormat="1" applyFont="1" applyBorder="1" applyAlignment="1">
      <alignment horizontal="right"/>
    </xf>
    <xf numFmtId="164" fontId="9" fillId="0" borderId="15" xfId="0" applyNumberFormat="1" applyFont="1" applyBorder="1" applyAlignment="1">
      <alignment horizontal="right"/>
    </xf>
    <xf numFmtId="165" fontId="8" fillId="0" borderId="6" xfId="1" applyFont="1" applyBorder="1" applyAlignment="1">
      <alignment horizontal="left"/>
    </xf>
    <xf numFmtId="165" fontId="10" fillId="0" borderId="6" xfId="1" applyFont="1" applyBorder="1" applyAlignment="1">
      <alignment horizontal="left"/>
    </xf>
    <xf numFmtId="165" fontId="7" fillId="0" borderId="16" xfId="1" applyFont="1" applyBorder="1" applyAlignment="1">
      <alignment horizontal="left"/>
    </xf>
    <xf numFmtId="165" fontId="10" fillId="0" borderId="17" xfId="1" applyFont="1" applyBorder="1" applyAlignment="1">
      <alignment horizontal="left"/>
    </xf>
    <xf numFmtId="164" fontId="2" fillId="0" borderId="18" xfId="0" applyNumberFormat="1" applyFont="1" applyBorder="1" applyAlignment="1">
      <alignment horizontal="right"/>
    </xf>
    <xf numFmtId="164" fontId="9" fillId="0" borderId="19" xfId="0" applyNumberFormat="1" applyFont="1" applyBorder="1" applyAlignment="1">
      <alignment horizontal="right"/>
    </xf>
    <xf numFmtId="164" fontId="9" fillId="0" borderId="18" xfId="0" applyNumberFormat="1" applyFont="1" applyBorder="1" applyAlignment="1">
      <alignment horizontal="left"/>
    </xf>
    <xf numFmtId="165" fontId="11" fillId="0" borderId="0" xfId="1" quotePrefix="1" applyFont="1" applyAlignment="1">
      <alignment horizontal="left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left"/>
    </xf>
    <xf numFmtId="165" fontId="11" fillId="0" borderId="0" xfId="1" applyFont="1" applyAlignment="1">
      <alignment horizontal="left"/>
    </xf>
    <xf numFmtId="165" fontId="12" fillId="0" borderId="0" xfId="1" quotePrefix="1" applyFont="1" applyAlignment="1">
      <alignment horizontal="left"/>
    </xf>
    <xf numFmtId="0" fontId="2" fillId="0" borderId="0" xfId="0" applyFont="1" applyAlignment="1">
      <alignment horizontal="center"/>
    </xf>
    <xf numFmtId="0" fontId="12" fillId="0" borderId="0" xfId="2" quotePrefix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5" fillId="0" borderId="0" xfId="3" applyFont="1"/>
    <xf numFmtId="0" fontId="14" fillId="0" borderId="0" xfId="3"/>
    <xf numFmtId="0" fontId="14" fillId="2" borderId="0" xfId="3" applyFill="1"/>
    <xf numFmtId="0" fontId="17" fillId="3" borderId="20" xfId="3" quotePrefix="1" applyFont="1" applyFill="1" applyBorder="1" applyAlignment="1">
      <alignment horizontal="center" vertical="center" wrapText="1"/>
    </xf>
    <xf numFmtId="16" fontId="17" fillId="3" borderId="20" xfId="3" quotePrefix="1" applyNumberFormat="1" applyFont="1" applyFill="1" applyBorder="1" applyAlignment="1">
      <alignment horizontal="center" vertical="center" wrapText="1"/>
    </xf>
    <xf numFmtId="166" fontId="17" fillId="3" borderId="20" xfId="3" quotePrefix="1" applyNumberFormat="1" applyFont="1" applyFill="1" applyBorder="1" applyAlignment="1">
      <alignment horizontal="center" vertical="center" wrapText="1"/>
    </xf>
    <xf numFmtId="3" fontId="17" fillId="4" borderId="20" xfId="5" quotePrefix="1" applyNumberFormat="1" applyFont="1" applyFill="1" applyBorder="1" applyAlignment="1">
      <alignment horizontal="centerContinuous" vertical="center"/>
    </xf>
    <xf numFmtId="0" fontId="17" fillId="4" borderId="20" xfId="4" applyFont="1" applyFill="1" applyBorder="1" applyAlignment="1">
      <alignment vertical="center"/>
    </xf>
    <xf numFmtId="167" fontId="15" fillId="4" borderId="20" xfId="3" applyNumberFormat="1" applyFont="1" applyFill="1" applyBorder="1" applyAlignment="1">
      <alignment horizontal="right" vertical="center" wrapText="1"/>
    </xf>
    <xf numFmtId="3" fontId="17" fillId="4" borderId="20" xfId="3" applyNumberFormat="1" applyFont="1" applyFill="1" applyBorder="1" applyAlignment="1">
      <alignment vertical="center"/>
    </xf>
    <xf numFmtId="3" fontId="15" fillId="0" borderId="0" xfId="3" applyNumberFormat="1" applyFont="1"/>
    <xf numFmtId="3" fontId="17" fillId="5" borderId="20" xfId="5" quotePrefix="1" applyNumberFormat="1" applyFont="1" applyFill="1" applyBorder="1" applyAlignment="1">
      <alignment horizontal="centerContinuous" vertical="center"/>
    </xf>
    <xf numFmtId="0" fontId="17" fillId="5" borderId="20" xfId="4" applyFont="1" applyFill="1" applyBorder="1" applyAlignment="1">
      <alignment vertical="center"/>
    </xf>
    <xf numFmtId="167" fontId="15" fillId="5" borderId="20" xfId="3" applyNumberFormat="1" applyFont="1" applyFill="1" applyBorder="1" applyAlignment="1">
      <alignment horizontal="right" vertical="center" wrapText="1"/>
    </xf>
    <xf numFmtId="3" fontId="17" fillId="5" borderId="20" xfId="3" applyNumberFormat="1" applyFont="1" applyFill="1" applyBorder="1" applyAlignment="1">
      <alignment vertical="center"/>
    </xf>
    <xf numFmtId="0" fontId="17" fillId="0" borderId="0" xfId="3" applyFont="1"/>
    <xf numFmtId="3" fontId="17" fillId="3" borderId="20" xfId="3" applyNumberFormat="1" applyFont="1" applyFill="1" applyBorder="1" applyAlignment="1">
      <alignment vertical="center"/>
    </xf>
    <xf numFmtId="0" fontId="15" fillId="2" borderId="0" xfId="3" applyFont="1" applyFill="1"/>
    <xf numFmtId="3" fontId="15" fillId="2" borderId="0" xfId="3" applyNumberFormat="1" applyFont="1" applyFill="1"/>
    <xf numFmtId="167" fontId="15" fillId="0" borderId="0" xfId="3" applyNumberFormat="1" applyFont="1"/>
    <xf numFmtId="0" fontId="15" fillId="0" borderId="0" xfId="5" applyFont="1" applyAlignment="1">
      <alignment horizontal="left" wrapText="1"/>
    </xf>
    <xf numFmtId="0" fontId="22" fillId="0" borderId="0" xfId="3" applyFont="1"/>
    <xf numFmtId="0" fontId="17" fillId="3" borderId="20" xfId="4" applyFont="1" applyFill="1" applyBorder="1" applyAlignment="1">
      <alignment horizontal="center" vertical="center" wrapText="1"/>
    </xf>
    <xf numFmtId="0" fontId="17" fillId="3" borderId="20" xfId="4" quotePrefix="1" applyFont="1" applyFill="1" applyBorder="1" applyAlignment="1">
      <alignment horizontal="center" vertical="center" wrapText="1"/>
    </xf>
    <xf numFmtId="0" fontId="15" fillId="0" borderId="0" xfId="5" applyFont="1" applyAlignment="1">
      <alignment horizontal="left" wrapText="1"/>
    </xf>
    <xf numFmtId="0" fontId="22" fillId="0" borderId="0" xfId="5" applyFont="1" applyAlignment="1">
      <alignment horizontal="left" wrapText="1"/>
    </xf>
    <xf numFmtId="0" fontId="16" fillId="0" borderId="0" xfId="3" applyFont="1" applyAlignment="1">
      <alignment horizontal="justify" vertical="center" wrapText="1"/>
    </xf>
    <xf numFmtId="0" fontId="14" fillId="0" borderId="0" xfId="3" applyAlignment="1">
      <alignment horizontal="justify" vertical="center"/>
    </xf>
    <xf numFmtId="0" fontId="17" fillId="3" borderId="20" xfId="3" applyFont="1" applyFill="1" applyBorder="1" applyAlignment="1">
      <alignment horizontal="center" vertical="center" textRotation="90" wrapText="1"/>
    </xf>
    <xf numFmtId="0" fontId="15" fillId="3" borderId="20" xfId="4" applyFont="1" applyFill="1" applyBorder="1" applyAlignment="1">
      <alignment horizontal="center" vertical="center" wrapText="1"/>
    </xf>
    <xf numFmtId="0" fontId="17" fillId="3" borderId="20" xfId="4" applyFont="1" applyFill="1" applyBorder="1" applyAlignment="1">
      <alignment horizontal="center" vertical="center"/>
    </xf>
    <xf numFmtId="3" fontId="17" fillId="3" borderId="20" xfId="4" applyNumberFormat="1" applyFont="1" applyFill="1" applyBorder="1" applyAlignment="1">
      <alignment horizontal="center" vertical="center" wrapText="1"/>
    </xf>
    <xf numFmtId="0" fontId="17" fillId="3" borderId="20" xfId="3" applyFont="1" applyFill="1" applyBorder="1" applyAlignment="1">
      <alignment horizontal="center" vertical="center" wrapText="1"/>
    </xf>
    <xf numFmtId="0" fontId="17" fillId="3" borderId="20" xfId="3" applyFont="1" applyFill="1" applyBorder="1" applyAlignment="1">
      <alignment horizontal="center" vertical="center"/>
    </xf>
    <xf numFmtId="165" fontId="7" fillId="0" borderId="8" xfId="1" quotePrefix="1" applyFont="1" applyBorder="1" applyAlignment="1">
      <alignment horizontal="left" vertical="center"/>
    </xf>
    <xf numFmtId="165" fontId="7" fillId="0" borderId="5" xfId="1" quotePrefix="1" applyFont="1" applyBorder="1" applyAlignment="1">
      <alignment horizontal="left" vertical="center"/>
    </xf>
    <xf numFmtId="165" fontId="7" fillId="0" borderId="12" xfId="1" quotePrefix="1" applyFont="1" applyBorder="1" applyAlignment="1">
      <alignment horizontal="left" vertical="center"/>
    </xf>
    <xf numFmtId="165" fontId="7" fillId="0" borderId="8" xfId="1" quotePrefix="1" applyFont="1" applyBorder="1" applyAlignment="1">
      <alignment horizontal="left" vertical="center" wrapText="1"/>
    </xf>
    <xf numFmtId="165" fontId="7" fillId="0" borderId="5" xfId="1" quotePrefix="1" applyFont="1" applyBorder="1" applyAlignment="1">
      <alignment horizontal="left" vertical="center" wrapText="1"/>
    </xf>
    <xf numFmtId="165" fontId="7" fillId="0" borderId="12" xfId="1" quotePrefix="1" applyFont="1" applyBorder="1" applyAlignment="1">
      <alignment horizontal="left" vertical="center" wrapText="1"/>
    </xf>
    <xf numFmtId="165" fontId="7" fillId="0" borderId="8" xfId="1" quotePrefix="1" applyFont="1" applyBorder="1" applyAlignment="1">
      <alignment horizontal="center" vertical="center"/>
    </xf>
    <xf numFmtId="165" fontId="7" fillId="0" borderId="5" xfId="1" quotePrefix="1" applyFont="1" applyBorder="1" applyAlignment="1">
      <alignment horizontal="center" vertical="center"/>
    </xf>
    <xf numFmtId="165" fontId="7" fillId="0" borderId="12" xfId="1" quotePrefix="1" applyFont="1" applyBorder="1" applyAlignment="1">
      <alignment horizontal="center" vertical="center"/>
    </xf>
    <xf numFmtId="0" fontId="17" fillId="0" borderId="0" xfId="5" applyFont="1" applyAlignment="1">
      <alignment horizontal="left" wrapText="1"/>
    </xf>
    <xf numFmtId="0" fontId="15" fillId="0" borderId="0" xfId="5" applyFont="1" applyAlignment="1">
      <alignment horizontal="left"/>
    </xf>
    <xf numFmtId="0" fontId="14" fillId="0" borderId="0" xfId="3" applyAlignment="1">
      <alignment horizontal="justify" vertical="center" wrapText="1"/>
    </xf>
  </cellXfs>
  <cellStyles count="6">
    <cellStyle name="Normal" xfId="0" builtinId="0"/>
    <cellStyle name="Normal 2 2" xfId="3" xr:uid="{5654B477-AE33-41B7-A704-5C7B60AB2BC7}"/>
    <cellStyle name="Normal_GNPEXS" xfId="1" xr:uid="{A3BEADEC-572C-4A93-8001-4EE07BE9B668}"/>
    <cellStyle name="Normal_GSMHÜRE3" xfId="2" xr:uid="{8D406B39-6B80-4831-974E-122B623A0678}"/>
    <cellStyle name="Normal_Sayfa2" xfId="4" xr:uid="{41B3327C-041F-444E-9444-DFA5DF70FDD6}"/>
    <cellStyle name="Normal_TABLO714 02 2012" xfId="5" xr:uid="{E9CE10E4-3A10-41F6-B84F-38DEA77E0F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304;&#199;&#304;NDEK&#304;LER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304;&#199;&#304;NDEK&#304;LE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74083</xdr:colOff>
      <xdr:row>0</xdr:row>
      <xdr:rowOff>84667</xdr:rowOff>
    </xdr:from>
    <xdr:to>
      <xdr:col>1</xdr:col>
      <xdr:colOff>618917</xdr:colOff>
      <xdr:row>1</xdr:row>
      <xdr:rowOff>144786</xdr:rowOff>
    </xdr:to>
    <xdr:sp macro="" textlink="">
      <xdr:nvSpPr>
        <xdr:cNvPr id="2" name="Dikdörtgen: Yuvarlatılmış Üst Köşele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FD005B-EBA9-4317-8F5A-1714317CAE29}"/>
            </a:ext>
          </a:extLst>
        </xdr:cNvPr>
        <xdr:cNvSpPr/>
      </xdr:nvSpPr>
      <xdr:spPr>
        <a:xfrm>
          <a:off x="74083" y="84667"/>
          <a:ext cx="875034" cy="250619"/>
        </a:xfrm>
        <a:prstGeom prst="round2SameRect">
          <a:avLst>
            <a:gd name="adj1" fmla="val 16667"/>
            <a:gd name="adj2" fmla="val 0"/>
          </a:avLst>
        </a:prstGeom>
        <a:solidFill>
          <a:sysClr val="window" lastClr="FFFFFF">
            <a:lumMod val="65000"/>
          </a:sysClr>
        </a:solidFill>
        <a:ln w="9525" cap="flat" cmpd="sng" algn="ctr">
          <a:solidFill>
            <a:srgbClr val="8064A2">
              <a:lumMod val="50000"/>
              <a:alpha val="67000"/>
            </a:srgbClr>
          </a:solidFill>
          <a:prstDash val="solid"/>
        </a:ln>
        <a:effectLst>
          <a:outerShdw blurRad="40000" dist="20000" dir="5400000" rotWithShape="0">
            <a:sysClr val="windowText" lastClr="000000">
              <a:lumMod val="75000"/>
              <a:lumOff val="25000"/>
              <a:alpha val="38000"/>
            </a:sysClr>
          </a:outerShdw>
        </a:effectLst>
        <a:scene3d>
          <a:camera prst="orthographicFront"/>
          <a:lightRig rig="threePt" dir="t"/>
        </a:scene3d>
        <a:sp3d>
          <a:bevelT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0" cap="none" spc="0" normalizeH="0" baseline="0" noProof="0">
              <a:ln cmpd="dbl">
                <a:gradFill>
                  <a:gsLst>
                    <a:gs pos="0">
                      <a:sysClr val="window" lastClr="FFFFFF">
                        <a:lumMod val="85000"/>
                      </a:sysClr>
                    </a:gs>
                    <a:gs pos="74000">
                      <a:srgbClr val="4F81BD">
                        <a:lumMod val="45000"/>
                        <a:lumOff val="55000"/>
                      </a:srgbClr>
                    </a:gs>
                    <a:gs pos="83000">
                      <a:srgbClr val="4F81BD">
                        <a:lumMod val="45000"/>
                        <a:lumOff val="55000"/>
                      </a:srgbClr>
                    </a:gs>
                    <a:gs pos="100000">
                      <a:srgbClr val="4F81BD">
                        <a:lumMod val="30000"/>
                        <a:lumOff val="70000"/>
                      </a:srgbClr>
                    </a:gs>
                  </a:gsLst>
                  <a:lin ang="5400000" scaled="1"/>
                </a:gradFill>
              </a:ln>
              <a:solidFill>
                <a:srgbClr val="1F497D"/>
              </a:solidFill>
              <a:effectLst>
                <a:glow rad="127000">
                  <a:sysClr val="window" lastClr="FFFFFF">
                    <a:lumMod val="85000"/>
                    <a:alpha val="95000"/>
                  </a:sysClr>
                </a:glow>
                <a:outerShdw blurRad="50800" dist="152400" dir="5400000" sx="97000" sy="97000" algn="ctr" rotWithShape="0">
                  <a:sysClr val="window" lastClr="FFFFFF">
                    <a:lumMod val="75000"/>
                  </a:sysClr>
                </a:outerShdw>
              </a:effectLst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İÇİNDEKİLER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76200</xdr:rowOff>
    </xdr:from>
    <xdr:to>
      <xdr:col>1</xdr:col>
      <xdr:colOff>601984</xdr:colOff>
      <xdr:row>1</xdr:row>
      <xdr:rowOff>136319</xdr:rowOff>
    </xdr:to>
    <xdr:sp macro="" textlink="">
      <xdr:nvSpPr>
        <xdr:cNvPr id="2" name="Dikdörtgen: Yuvarlatılmış Üst Köşele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8172A9-0F29-4247-A7F7-A8BF03F4D46A}"/>
            </a:ext>
          </a:extLst>
        </xdr:cNvPr>
        <xdr:cNvSpPr/>
      </xdr:nvSpPr>
      <xdr:spPr>
        <a:xfrm>
          <a:off x="57150" y="76200"/>
          <a:ext cx="875034" cy="250619"/>
        </a:xfrm>
        <a:prstGeom prst="round2SameRect">
          <a:avLst>
            <a:gd name="adj1" fmla="val 16667"/>
            <a:gd name="adj2" fmla="val 0"/>
          </a:avLst>
        </a:prstGeom>
        <a:solidFill>
          <a:sysClr val="window" lastClr="FFFFFF">
            <a:lumMod val="65000"/>
          </a:sysClr>
        </a:solidFill>
        <a:ln w="9525" cap="flat" cmpd="sng" algn="ctr">
          <a:solidFill>
            <a:srgbClr val="8064A2">
              <a:lumMod val="50000"/>
              <a:alpha val="67000"/>
            </a:srgbClr>
          </a:solidFill>
          <a:prstDash val="solid"/>
        </a:ln>
        <a:effectLst>
          <a:outerShdw blurRad="40000" dist="20000" dir="5400000" rotWithShape="0">
            <a:sysClr val="windowText" lastClr="000000">
              <a:lumMod val="75000"/>
              <a:lumOff val="25000"/>
              <a:alpha val="38000"/>
            </a:sysClr>
          </a:outerShdw>
        </a:effectLst>
        <a:scene3d>
          <a:camera prst="orthographicFront"/>
          <a:lightRig rig="threePt" dir="t"/>
        </a:scene3d>
        <a:sp3d>
          <a:bevelT/>
        </a:sp3d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0" cap="none" spc="0" normalizeH="0" baseline="0" noProof="0">
              <a:ln cmpd="dbl">
                <a:gradFill>
                  <a:gsLst>
                    <a:gs pos="0">
                      <a:sysClr val="window" lastClr="FFFFFF">
                        <a:lumMod val="85000"/>
                      </a:sysClr>
                    </a:gs>
                    <a:gs pos="74000">
                      <a:srgbClr val="4F81BD">
                        <a:lumMod val="45000"/>
                        <a:lumOff val="55000"/>
                      </a:srgbClr>
                    </a:gs>
                    <a:gs pos="83000">
                      <a:srgbClr val="4F81BD">
                        <a:lumMod val="45000"/>
                        <a:lumOff val="55000"/>
                      </a:srgbClr>
                    </a:gs>
                    <a:gs pos="100000">
                      <a:srgbClr val="4F81BD">
                        <a:lumMod val="30000"/>
                        <a:lumOff val="70000"/>
                      </a:srgbClr>
                    </a:gs>
                  </a:gsLst>
                  <a:lin ang="5400000" scaled="1"/>
                </a:gradFill>
              </a:ln>
              <a:solidFill>
                <a:srgbClr val="1F497D"/>
              </a:solidFill>
              <a:effectLst>
                <a:glow rad="127000">
                  <a:sysClr val="window" lastClr="FFFFFF">
                    <a:lumMod val="85000"/>
                    <a:alpha val="95000"/>
                  </a:sysClr>
                </a:glow>
                <a:outerShdw blurRad="50800" dist="152400" dir="5400000" sx="97000" sy="97000" algn="ctr" rotWithShape="0">
                  <a:sysClr val="window" lastClr="FFFFFF">
                    <a:lumMod val="75000"/>
                  </a:sysClr>
                </a:outerShdw>
              </a:effectLst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İÇİNDEKİLER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2\Eka_Ortak\TEMP\BEKLENT&#304;%20ANKET&#304;\&#199;E&#350;&#304;TL&#304;\INTERNE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uler.cuhadaroglu/AppData/Local/Temp/Temp1_c3ebc2d5-76f2-4f9f-ba03-4ddc2e7ecfe5%20(1).zip/YILLIK%20B&#214;L&#220;M%201%20Sigortal&#305;%20ve%20&#304;&#351;%20Yeri%20&#304;statistikleri_2024.xlsx" TargetMode="External"/><Relationship Id="rId1" Type="http://schemas.openxmlformats.org/officeDocument/2006/relationships/externalLinkPath" Target="/Users/guler.cuhadaroglu/AppData/Local/Temp/Temp1_c3ebc2d5-76f2-4f9f-ba03-4ddc2e7ecfe5%20(1).zip/YILLIK%20B&#214;L&#220;M%201%20Sigortal&#305;%20ve%20&#304;&#351;%20Yeri%20&#304;statistikleri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İÇİNDEKİLER"/>
      <sheetName val="bilgi notu"/>
      <sheetName val="anket formu"/>
      <sheetName val="son dönem özet tablo"/>
      <sheetName val="ayrıntılı tablo(Ağus.01-Ara.01)"/>
      <sheetName val="katılım oranı "/>
      <sheetName val="katılım oranı (Ağus.01-Ara.01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İÇİNDEKİLER"/>
      <sheetName val="METAVERİ"/>
      <sheetName val="METADATA"/>
      <sheetName val="BÖLÜM 1"/>
      <sheetName val="TABLO-1.1"/>
      <sheetName val="GRAFİK-1.1"/>
      <sheetName val="TABLO-1.2 "/>
      <sheetName val="GRAFİK-1.2"/>
      <sheetName val="TABLO-1.3"/>
      <sheetName val="GRAFİK-1.3"/>
      <sheetName val="TABLO-1.4"/>
      <sheetName val="GRAFİK-1.4"/>
      <sheetName val="Tablo 1.5-Grafik 1.5"/>
      <sheetName val="TABLO-1.6 "/>
      <sheetName val="TABLO-1.7"/>
      <sheetName val="Tablo-1.8"/>
      <sheetName val="TABLO-1.9"/>
      <sheetName val="TABLO-1.10"/>
      <sheetName val="TABLO-1.11"/>
      <sheetName val="TABLO-1.12"/>
      <sheetName val="TABLO-1.13"/>
      <sheetName val="TABLO-1.14"/>
      <sheetName val="TABLO-1.15"/>
      <sheetName val="TABLO-1.16"/>
      <sheetName val="TABLO-1.17 "/>
      <sheetName val="TABLO-1.18"/>
      <sheetName val="TABLO-1.19"/>
      <sheetName val="TABLO-1.20"/>
      <sheetName val="TABLO-1.21"/>
      <sheetName val="TABLO-1.22"/>
      <sheetName val="TABLO-1.23"/>
      <sheetName val="TABLO-1.24"/>
      <sheetName val="TABLO-1.25"/>
      <sheetName val="TABLO-1.26"/>
      <sheetName val="TABLO-1.27"/>
      <sheetName val="TABLO-1.28"/>
      <sheetName val="TABLO-1.29"/>
      <sheetName val="E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35D9-4250-45E7-8C50-4332F041CCA4}">
  <sheetPr>
    <pageSetUpPr fitToPage="1"/>
  </sheetPr>
  <dimension ref="A2:U125"/>
  <sheetViews>
    <sheetView tabSelected="1" zoomScale="42" zoomScaleNormal="42" zoomScaleSheetLayoutView="46" workbookViewId="0"/>
  </sheetViews>
  <sheetFormatPr defaultColWidth="9.33203125" defaultRowHeight="25.2" x14ac:dyDescent="0.45"/>
  <cols>
    <col min="1" max="1" width="98.44140625" style="3" customWidth="1"/>
    <col min="2" max="2" width="73.33203125" style="3" customWidth="1"/>
    <col min="3" max="18" width="30.109375" style="44" customWidth="1"/>
    <col min="19" max="19" width="3.109375" style="44" customWidth="1"/>
    <col min="20" max="20" width="82" style="2" customWidth="1"/>
    <col min="21" max="21" width="96.44140625" style="3" customWidth="1"/>
    <col min="22" max="256" width="9.33203125" style="20"/>
    <col min="257" max="257" width="98.44140625" style="20" customWidth="1"/>
    <col min="258" max="258" width="73.33203125" style="20" customWidth="1"/>
    <col min="259" max="274" width="30.109375" style="20" customWidth="1"/>
    <col min="275" max="275" width="3.109375" style="20" customWidth="1"/>
    <col min="276" max="276" width="82" style="20" customWidth="1"/>
    <col min="277" max="277" width="96.44140625" style="20" customWidth="1"/>
    <col min="278" max="512" width="9.33203125" style="20"/>
    <col min="513" max="513" width="98.44140625" style="20" customWidth="1"/>
    <col min="514" max="514" width="73.33203125" style="20" customWidth="1"/>
    <col min="515" max="530" width="30.109375" style="20" customWidth="1"/>
    <col min="531" max="531" width="3.109375" style="20" customWidth="1"/>
    <col min="532" max="532" width="82" style="20" customWidth="1"/>
    <col min="533" max="533" width="96.44140625" style="20" customWidth="1"/>
    <col min="534" max="768" width="9.33203125" style="20"/>
    <col min="769" max="769" width="98.44140625" style="20" customWidth="1"/>
    <col min="770" max="770" width="73.33203125" style="20" customWidth="1"/>
    <col min="771" max="786" width="30.109375" style="20" customWidth="1"/>
    <col min="787" max="787" width="3.109375" style="20" customWidth="1"/>
    <col min="788" max="788" width="82" style="20" customWidth="1"/>
    <col min="789" max="789" width="96.44140625" style="20" customWidth="1"/>
    <col min="790" max="1024" width="9.33203125" style="20"/>
    <col min="1025" max="1025" width="98.44140625" style="20" customWidth="1"/>
    <col min="1026" max="1026" width="73.33203125" style="20" customWidth="1"/>
    <col min="1027" max="1042" width="30.109375" style="20" customWidth="1"/>
    <col min="1043" max="1043" width="3.109375" style="20" customWidth="1"/>
    <col min="1044" max="1044" width="82" style="20" customWidth="1"/>
    <col min="1045" max="1045" width="96.44140625" style="20" customWidth="1"/>
    <col min="1046" max="1280" width="9.33203125" style="20"/>
    <col min="1281" max="1281" width="98.44140625" style="20" customWidth="1"/>
    <col min="1282" max="1282" width="73.33203125" style="20" customWidth="1"/>
    <col min="1283" max="1298" width="30.109375" style="20" customWidth="1"/>
    <col min="1299" max="1299" width="3.109375" style="20" customWidth="1"/>
    <col min="1300" max="1300" width="82" style="20" customWidth="1"/>
    <col min="1301" max="1301" width="96.44140625" style="20" customWidth="1"/>
    <col min="1302" max="1536" width="9.33203125" style="20"/>
    <col min="1537" max="1537" width="98.44140625" style="20" customWidth="1"/>
    <col min="1538" max="1538" width="73.33203125" style="20" customWidth="1"/>
    <col min="1539" max="1554" width="30.109375" style="20" customWidth="1"/>
    <col min="1555" max="1555" width="3.109375" style="20" customWidth="1"/>
    <col min="1556" max="1556" width="82" style="20" customWidth="1"/>
    <col min="1557" max="1557" width="96.44140625" style="20" customWidth="1"/>
    <col min="1558" max="1792" width="9.33203125" style="20"/>
    <col min="1793" max="1793" width="98.44140625" style="20" customWidth="1"/>
    <col min="1794" max="1794" width="73.33203125" style="20" customWidth="1"/>
    <col min="1795" max="1810" width="30.109375" style="20" customWidth="1"/>
    <col min="1811" max="1811" width="3.109375" style="20" customWidth="1"/>
    <col min="1812" max="1812" width="82" style="20" customWidth="1"/>
    <col min="1813" max="1813" width="96.44140625" style="20" customWidth="1"/>
    <col min="1814" max="2048" width="9.33203125" style="20"/>
    <col min="2049" max="2049" width="98.44140625" style="20" customWidth="1"/>
    <col min="2050" max="2050" width="73.33203125" style="20" customWidth="1"/>
    <col min="2051" max="2066" width="30.109375" style="20" customWidth="1"/>
    <col min="2067" max="2067" width="3.109375" style="20" customWidth="1"/>
    <col min="2068" max="2068" width="82" style="20" customWidth="1"/>
    <col min="2069" max="2069" width="96.44140625" style="20" customWidth="1"/>
    <col min="2070" max="2304" width="9.33203125" style="20"/>
    <col min="2305" max="2305" width="98.44140625" style="20" customWidth="1"/>
    <col min="2306" max="2306" width="73.33203125" style="20" customWidth="1"/>
    <col min="2307" max="2322" width="30.109375" style="20" customWidth="1"/>
    <col min="2323" max="2323" width="3.109375" style="20" customWidth="1"/>
    <col min="2324" max="2324" width="82" style="20" customWidth="1"/>
    <col min="2325" max="2325" width="96.44140625" style="20" customWidth="1"/>
    <col min="2326" max="2560" width="9.33203125" style="20"/>
    <col min="2561" max="2561" width="98.44140625" style="20" customWidth="1"/>
    <col min="2562" max="2562" width="73.33203125" style="20" customWidth="1"/>
    <col min="2563" max="2578" width="30.109375" style="20" customWidth="1"/>
    <col min="2579" max="2579" width="3.109375" style="20" customWidth="1"/>
    <col min="2580" max="2580" width="82" style="20" customWidth="1"/>
    <col min="2581" max="2581" width="96.44140625" style="20" customWidth="1"/>
    <col min="2582" max="2816" width="9.33203125" style="20"/>
    <col min="2817" max="2817" width="98.44140625" style="20" customWidth="1"/>
    <col min="2818" max="2818" width="73.33203125" style="20" customWidth="1"/>
    <col min="2819" max="2834" width="30.109375" style="20" customWidth="1"/>
    <col min="2835" max="2835" width="3.109375" style="20" customWidth="1"/>
    <col min="2836" max="2836" width="82" style="20" customWidth="1"/>
    <col min="2837" max="2837" width="96.44140625" style="20" customWidth="1"/>
    <col min="2838" max="3072" width="9.33203125" style="20"/>
    <col min="3073" max="3073" width="98.44140625" style="20" customWidth="1"/>
    <col min="3074" max="3074" width="73.33203125" style="20" customWidth="1"/>
    <col min="3075" max="3090" width="30.109375" style="20" customWidth="1"/>
    <col min="3091" max="3091" width="3.109375" style="20" customWidth="1"/>
    <col min="3092" max="3092" width="82" style="20" customWidth="1"/>
    <col min="3093" max="3093" width="96.44140625" style="20" customWidth="1"/>
    <col min="3094" max="3328" width="9.33203125" style="20"/>
    <col min="3329" max="3329" width="98.44140625" style="20" customWidth="1"/>
    <col min="3330" max="3330" width="73.33203125" style="20" customWidth="1"/>
    <col min="3331" max="3346" width="30.109375" style="20" customWidth="1"/>
    <col min="3347" max="3347" width="3.109375" style="20" customWidth="1"/>
    <col min="3348" max="3348" width="82" style="20" customWidth="1"/>
    <col min="3349" max="3349" width="96.44140625" style="20" customWidth="1"/>
    <col min="3350" max="3584" width="9.33203125" style="20"/>
    <col min="3585" max="3585" width="98.44140625" style="20" customWidth="1"/>
    <col min="3586" max="3586" width="73.33203125" style="20" customWidth="1"/>
    <col min="3587" max="3602" width="30.109375" style="20" customWidth="1"/>
    <col min="3603" max="3603" width="3.109375" style="20" customWidth="1"/>
    <col min="3604" max="3604" width="82" style="20" customWidth="1"/>
    <col min="3605" max="3605" width="96.44140625" style="20" customWidth="1"/>
    <col min="3606" max="3840" width="9.33203125" style="20"/>
    <col min="3841" max="3841" width="98.44140625" style="20" customWidth="1"/>
    <col min="3842" max="3842" width="73.33203125" style="20" customWidth="1"/>
    <col min="3843" max="3858" width="30.109375" style="20" customWidth="1"/>
    <col min="3859" max="3859" width="3.109375" style="20" customWidth="1"/>
    <col min="3860" max="3860" width="82" style="20" customWidth="1"/>
    <col min="3861" max="3861" width="96.44140625" style="20" customWidth="1"/>
    <col min="3862" max="4096" width="9.33203125" style="20"/>
    <col min="4097" max="4097" width="98.44140625" style="20" customWidth="1"/>
    <col min="4098" max="4098" width="73.33203125" style="20" customWidth="1"/>
    <col min="4099" max="4114" width="30.109375" style="20" customWidth="1"/>
    <col min="4115" max="4115" width="3.109375" style="20" customWidth="1"/>
    <col min="4116" max="4116" width="82" style="20" customWidth="1"/>
    <col min="4117" max="4117" width="96.44140625" style="20" customWidth="1"/>
    <col min="4118" max="4352" width="9.33203125" style="20"/>
    <col min="4353" max="4353" width="98.44140625" style="20" customWidth="1"/>
    <col min="4354" max="4354" width="73.33203125" style="20" customWidth="1"/>
    <col min="4355" max="4370" width="30.109375" style="20" customWidth="1"/>
    <col min="4371" max="4371" width="3.109375" style="20" customWidth="1"/>
    <col min="4372" max="4372" width="82" style="20" customWidth="1"/>
    <col min="4373" max="4373" width="96.44140625" style="20" customWidth="1"/>
    <col min="4374" max="4608" width="9.33203125" style="20"/>
    <col min="4609" max="4609" width="98.44140625" style="20" customWidth="1"/>
    <col min="4610" max="4610" width="73.33203125" style="20" customWidth="1"/>
    <col min="4611" max="4626" width="30.109375" style="20" customWidth="1"/>
    <col min="4627" max="4627" width="3.109375" style="20" customWidth="1"/>
    <col min="4628" max="4628" width="82" style="20" customWidth="1"/>
    <col min="4629" max="4629" width="96.44140625" style="20" customWidth="1"/>
    <col min="4630" max="4864" width="9.33203125" style="20"/>
    <col min="4865" max="4865" width="98.44140625" style="20" customWidth="1"/>
    <col min="4866" max="4866" width="73.33203125" style="20" customWidth="1"/>
    <col min="4867" max="4882" width="30.109375" style="20" customWidth="1"/>
    <col min="4883" max="4883" width="3.109375" style="20" customWidth="1"/>
    <col min="4884" max="4884" width="82" style="20" customWidth="1"/>
    <col min="4885" max="4885" width="96.44140625" style="20" customWidth="1"/>
    <col min="4886" max="5120" width="9.33203125" style="20"/>
    <col min="5121" max="5121" width="98.44140625" style="20" customWidth="1"/>
    <col min="5122" max="5122" width="73.33203125" style="20" customWidth="1"/>
    <col min="5123" max="5138" width="30.109375" style="20" customWidth="1"/>
    <col min="5139" max="5139" width="3.109375" style="20" customWidth="1"/>
    <col min="5140" max="5140" width="82" style="20" customWidth="1"/>
    <col min="5141" max="5141" width="96.44140625" style="20" customWidth="1"/>
    <col min="5142" max="5376" width="9.33203125" style="20"/>
    <col min="5377" max="5377" width="98.44140625" style="20" customWidth="1"/>
    <col min="5378" max="5378" width="73.33203125" style="20" customWidth="1"/>
    <col min="5379" max="5394" width="30.109375" style="20" customWidth="1"/>
    <col min="5395" max="5395" width="3.109375" style="20" customWidth="1"/>
    <col min="5396" max="5396" width="82" style="20" customWidth="1"/>
    <col min="5397" max="5397" width="96.44140625" style="20" customWidth="1"/>
    <col min="5398" max="5632" width="9.33203125" style="20"/>
    <col min="5633" max="5633" width="98.44140625" style="20" customWidth="1"/>
    <col min="5634" max="5634" width="73.33203125" style="20" customWidth="1"/>
    <col min="5635" max="5650" width="30.109375" style="20" customWidth="1"/>
    <col min="5651" max="5651" width="3.109375" style="20" customWidth="1"/>
    <col min="5652" max="5652" width="82" style="20" customWidth="1"/>
    <col min="5653" max="5653" width="96.44140625" style="20" customWidth="1"/>
    <col min="5654" max="5888" width="9.33203125" style="20"/>
    <col min="5889" max="5889" width="98.44140625" style="20" customWidth="1"/>
    <col min="5890" max="5890" width="73.33203125" style="20" customWidth="1"/>
    <col min="5891" max="5906" width="30.109375" style="20" customWidth="1"/>
    <col min="5907" max="5907" width="3.109375" style="20" customWidth="1"/>
    <col min="5908" max="5908" width="82" style="20" customWidth="1"/>
    <col min="5909" max="5909" width="96.44140625" style="20" customWidth="1"/>
    <col min="5910" max="6144" width="9.33203125" style="20"/>
    <col min="6145" max="6145" width="98.44140625" style="20" customWidth="1"/>
    <col min="6146" max="6146" width="73.33203125" style="20" customWidth="1"/>
    <col min="6147" max="6162" width="30.109375" style="20" customWidth="1"/>
    <col min="6163" max="6163" width="3.109375" style="20" customWidth="1"/>
    <col min="6164" max="6164" width="82" style="20" customWidth="1"/>
    <col min="6165" max="6165" width="96.44140625" style="20" customWidth="1"/>
    <col min="6166" max="6400" width="9.33203125" style="20"/>
    <col min="6401" max="6401" width="98.44140625" style="20" customWidth="1"/>
    <col min="6402" max="6402" width="73.33203125" style="20" customWidth="1"/>
    <col min="6403" max="6418" width="30.109375" style="20" customWidth="1"/>
    <col min="6419" max="6419" width="3.109375" style="20" customWidth="1"/>
    <col min="6420" max="6420" width="82" style="20" customWidth="1"/>
    <col min="6421" max="6421" width="96.44140625" style="20" customWidth="1"/>
    <col min="6422" max="6656" width="9.33203125" style="20"/>
    <col min="6657" max="6657" width="98.44140625" style="20" customWidth="1"/>
    <col min="6658" max="6658" width="73.33203125" style="20" customWidth="1"/>
    <col min="6659" max="6674" width="30.109375" style="20" customWidth="1"/>
    <col min="6675" max="6675" width="3.109375" style="20" customWidth="1"/>
    <col min="6676" max="6676" width="82" style="20" customWidth="1"/>
    <col min="6677" max="6677" width="96.44140625" style="20" customWidth="1"/>
    <col min="6678" max="6912" width="9.33203125" style="20"/>
    <col min="6913" max="6913" width="98.44140625" style="20" customWidth="1"/>
    <col min="6914" max="6914" width="73.33203125" style="20" customWidth="1"/>
    <col min="6915" max="6930" width="30.109375" style="20" customWidth="1"/>
    <col min="6931" max="6931" width="3.109375" style="20" customWidth="1"/>
    <col min="6932" max="6932" width="82" style="20" customWidth="1"/>
    <col min="6933" max="6933" width="96.44140625" style="20" customWidth="1"/>
    <col min="6934" max="7168" width="9.33203125" style="20"/>
    <col min="7169" max="7169" width="98.44140625" style="20" customWidth="1"/>
    <col min="7170" max="7170" width="73.33203125" style="20" customWidth="1"/>
    <col min="7171" max="7186" width="30.109375" style="20" customWidth="1"/>
    <col min="7187" max="7187" width="3.109375" style="20" customWidth="1"/>
    <col min="7188" max="7188" width="82" style="20" customWidth="1"/>
    <col min="7189" max="7189" width="96.44140625" style="20" customWidth="1"/>
    <col min="7190" max="7424" width="9.33203125" style="20"/>
    <col min="7425" max="7425" width="98.44140625" style="20" customWidth="1"/>
    <col min="7426" max="7426" width="73.33203125" style="20" customWidth="1"/>
    <col min="7427" max="7442" width="30.109375" style="20" customWidth="1"/>
    <col min="7443" max="7443" width="3.109375" style="20" customWidth="1"/>
    <col min="7444" max="7444" width="82" style="20" customWidth="1"/>
    <col min="7445" max="7445" width="96.44140625" style="20" customWidth="1"/>
    <col min="7446" max="7680" width="9.33203125" style="20"/>
    <col min="7681" max="7681" width="98.44140625" style="20" customWidth="1"/>
    <col min="7682" max="7682" width="73.33203125" style="20" customWidth="1"/>
    <col min="7683" max="7698" width="30.109375" style="20" customWidth="1"/>
    <col min="7699" max="7699" width="3.109375" style="20" customWidth="1"/>
    <col min="7700" max="7700" width="82" style="20" customWidth="1"/>
    <col min="7701" max="7701" width="96.44140625" style="20" customWidth="1"/>
    <col min="7702" max="7936" width="9.33203125" style="20"/>
    <col min="7937" max="7937" width="98.44140625" style="20" customWidth="1"/>
    <col min="7938" max="7938" width="73.33203125" style="20" customWidth="1"/>
    <col min="7939" max="7954" width="30.109375" style="20" customWidth="1"/>
    <col min="7955" max="7955" width="3.109375" style="20" customWidth="1"/>
    <col min="7956" max="7956" width="82" style="20" customWidth="1"/>
    <col min="7957" max="7957" width="96.44140625" style="20" customWidth="1"/>
    <col min="7958" max="8192" width="9.33203125" style="20"/>
    <col min="8193" max="8193" width="98.44140625" style="20" customWidth="1"/>
    <col min="8194" max="8194" width="73.33203125" style="20" customWidth="1"/>
    <col min="8195" max="8210" width="30.109375" style="20" customWidth="1"/>
    <col min="8211" max="8211" width="3.109375" style="20" customWidth="1"/>
    <col min="8212" max="8212" width="82" style="20" customWidth="1"/>
    <col min="8213" max="8213" width="96.44140625" style="20" customWidth="1"/>
    <col min="8214" max="8448" width="9.33203125" style="20"/>
    <col min="8449" max="8449" width="98.44140625" style="20" customWidth="1"/>
    <col min="8450" max="8450" width="73.33203125" style="20" customWidth="1"/>
    <col min="8451" max="8466" width="30.109375" style="20" customWidth="1"/>
    <col min="8467" max="8467" width="3.109375" style="20" customWidth="1"/>
    <col min="8468" max="8468" width="82" style="20" customWidth="1"/>
    <col min="8469" max="8469" width="96.44140625" style="20" customWidth="1"/>
    <col min="8470" max="8704" width="9.33203125" style="20"/>
    <col min="8705" max="8705" width="98.44140625" style="20" customWidth="1"/>
    <col min="8706" max="8706" width="73.33203125" style="20" customWidth="1"/>
    <col min="8707" max="8722" width="30.109375" style="20" customWidth="1"/>
    <col min="8723" max="8723" width="3.109375" style="20" customWidth="1"/>
    <col min="8724" max="8724" width="82" style="20" customWidth="1"/>
    <col min="8725" max="8725" width="96.44140625" style="20" customWidth="1"/>
    <col min="8726" max="8960" width="9.33203125" style="20"/>
    <col min="8961" max="8961" width="98.44140625" style="20" customWidth="1"/>
    <col min="8962" max="8962" width="73.33203125" style="20" customWidth="1"/>
    <col min="8963" max="8978" width="30.109375" style="20" customWidth="1"/>
    <col min="8979" max="8979" width="3.109375" style="20" customWidth="1"/>
    <col min="8980" max="8980" width="82" style="20" customWidth="1"/>
    <col min="8981" max="8981" width="96.44140625" style="20" customWidth="1"/>
    <col min="8982" max="9216" width="9.33203125" style="20"/>
    <col min="9217" max="9217" width="98.44140625" style="20" customWidth="1"/>
    <col min="9218" max="9218" width="73.33203125" style="20" customWidth="1"/>
    <col min="9219" max="9234" width="30.109375" style="20" customWidth="1"/>
    <col min="9235" max="9235" width="3.109375" style="20" customWidth="1"/>
    <col min="9236" max="9236" width="82" style="20" customWidth="1"/>
    <col min="9237" max="9237" width="96.44140625" style="20" customWidth="1"/>
    <col min="9238" max="9472" width="9.33203125" style="20"/>
    <col min="9473" max="9473" width="98.44140625" style="20" customWidth="1"/>
    <col min="9474" max="9474" width="73.33203125" style="20" customWidth="1"/>
    <col min="9475" max="9490" width="30.109375" style="20" customWidth="1"/>
    <col min="9491" max="9491" width="3.109375" style="20" customWidth="1"/>
    <col min="9492" max="9492" width="82" style="20" customWidth="1"/>
    <col min="9493" max="9493" width="96.44140625" style="20" customWidth="1"/>
    <col min="9494" max="9728" width="9.33203125" style="20"/>
    <col min="9729" max="9729" width="98.44140625" style="20" customWidth="1"/>
    <col min="9730" max="9730" width="73.33203125" style="20" customWidth="1"/>
    <col min="9731" max="9746" width="30.109375" style="20" customWidth="1"/>
    <col min="9747" max="9747" width="3.109375" style="20" customWidth="1"/>
    <col min="9748" max="9748" width="82" style="20" customWidth="1"/>
    <col min="9749" max="9749" width="96.44140625" style="20" customWidth="1"/>
    <col min="9750" max="9984" width="9.33203125" style="20"/>
    <col min="9985" max="9985" width="98.44140625" style="20" customWidth="1"/>
    <col min="9986" max="9986" width="73.33203125" style="20" customWidth="1"/>
    <col min="9987" max="10002" width="30.109375" style="20" customWidth="1"/>
    <col min="10003" max="10003" width="3.109375" style="20" customWidth="1"/>
    <col min="10004" max="10004" width="82" style="20" customWidth="1"/>
    <col min="10005" max="10005" width="96.44140625" style="20" customWidth="1"/>
    <col min="10006" max="10240" width="9.33203125" style="20"/>
    <col min="10241" max="10241" width="98.44140625" style="20" customWidth="1"/>
    <col min="10242" max="10242" width="73.33203125" style="20" customWidth="1"/>
    <col min="10243" max="10258" width="30.109375" style="20" customWidth="1"/>
    <col min="10259" max="10259" width="3.109375" style="20" customWidth="1"/>
    <col min="10260" max="10260" width="82" style="20" customWidth="1"/>
    <col min="10261" max="10261" width="96.44140625" style="20" customWidth="1"/>
    <col min="10262" max="10496" width="9.33203125" style="20"/>
    <col min="10497" max="10497" width="98.44140625" style="20" customWidth="1"/>
    <col min="10498" max="10498" width="73.33203125" style="20" customWidth="1"/>
    <col min="10499" max="10514" width="30.109375" style="20" customWidth="1"/>
    <col min="10515" max="10515" width="3.109375" style="20" customWidth="1"/>
    <col min="10516" max="10516" width="82" style="20" customWidth="1"/>
    <col min="10517" max="10517" width="96.44140625" style="20" customWidth="1"/>
    <col min="10518" max="10752" width="9.33203125" style="20"/>
    <col min="10753" max="10753" width="98.44140625" style="20" customWidth="1"/>
    <col min="10754" max="10754" width="73.33203125" style="20" customWidth="1"/>
    <col min="10755" max="10770" width="30.109375" style="20" customWidth="1"/>
    <col min="10771" max="10771" width="3.109375" style="20" customWidth="1"/>
    <col min="10772" max="10772" width="82" style="20" customWidth="1"/>
    <col min="10773" max="10773" width="96.44140625" style="20" customWidth="1"/>
    <col min="10774" max="11008" width="9.33203125" style="20"/>
    <col min="11009" max="11009" width="98.44140625" style="20" customWidth="1"/>
    <col min="11010" max="11010" width="73.33203125" style="20" customWidth="1"/>
    <col min="11011" max="11026" width="30.109375" style="20" customWidth="1"/>
    <col min="11027" max="11027" width="3.109375" style="20" customWidth="1"/>
    <col min="11028" max="11028" width="82" style="20" customWidth="1"/>
    <col min="11029" max="11029" width="96.44140625" style="20" customWidth="1"/>
    <col min="11030" max="11264" width="9.33203125" style="20"/>
    <col min="11265" max="11265" width="98.44140625" style="20" customWidth="1"/>
    <col min="11266" max="11266" width="73.33203125" style="20" customWidth="1"/>
    <col min="11267" max="11282" width="30.109375" style="20" customWidth="1"/>
    <col min="11283" max="11283" width="3.109375" style="20" customWidth="1"/>
    <col min="11284" max="11284" width="82" style="20" customWidth="1"/>
    <col min="11285" max="11285" width="96.44140625" style="20" customWidth="1"/>
    <col min="11286" max="11520" width="9.33203125" style="20"/>
    <col min="11521" max="11521" width="98.44140625" style="20" customWidth="1"/>
    <col min="11522" max="11522" width="73.33203125" style="20" customWidth="1"/>
    <col min="11523" max="11538" width="30.109375" style="20" customWidth="1"/>
    <col min="11539" max="11539" width="3.109375" style="20" customWidth="1"/>
    <col min="11540" max="11540" width="82" style="20" customWidth="1"/>
    <col min="11541" max="11541" width="96.44140625" style="20" customWidth="1"/>
    <col min="11542" max="11776" width="9.33203125" style="20"/>
    <col min="11777" max="11777" width="98.44140625" style="20" customWidth="1"/>
    <col min="11778" max="11778" width="73.33203125" style="20" customWidth="1"/>
    <col min="11779" max="11794" width="30.109375" style="20" customWidth="1"/>
    <col min="11795" max="11795" width="3.109375" style="20" customWidth="1"/>
    <col min="11796" max="11796" width="82" style="20" customWidth="1"/>
    <col min="11797" max="11797" width="96.44140625" style="20" customWidth="1"/>
    <col min="11798" max="12032" width="9.33203125" style="20"/>
    <col min="12033" max="12033" width="98.44140625" style="20" customWidth="1"/>
    <col min="12034" max="12034" width="73.33203125" style="20" customWidth="1"/>
    <col min="12035" max="12050" width="30.109375" style="20" customWidth="1"/>
    <col min="12051" max="12051" width="3.109375" style="20" customWidth="1"/>
    <col min="12052" max="12052" width="82" style="20" customWidth="1"/>
    <col min="12053" max="12053" width="96.44140625" style="20" customWidth="1"/>
    <col min="12054" max="12288" width="9.33203125" style="20"/>
    <col min="12289" max="12289" width="98.44140625" style="20" customWidth="1"/>
    <col min="12290" max="12290" width="73.33203125" style="20" customWidth="1"/>
    <col min="12291" max="12306" width="30.109375" style="20" customWidth="1"/>
    <col min="12307" max="12307" width="3.109375" style="20" customWidth="1"/>
    <col min="12308" max="12308" width="82" style="20" customWidth="1"/>
    <col min="12309" max="12309" width="96.44140625" style="20" customWidth="1"/>
    <col min="12310" max="12544" width="9.33203125" style="20"/>
    <col min="12545" max="12545" width="98.44140625" style="20" customWidth="1"/>
    <col min="12546" max="12546" width="73.33203125" style="20" customWidth="1"/>
    <col min="12547" max="12562" width="30.109375" style="20" customWidth="1"/>
    <col min="12563" max="12563" width="3.109375" style="20" customWidth="1"/>
    <col min="12564" max="12564" width="82" style="20" customWidth="1"/>
    <col min="12565" max="12565" width="96.44140625" style="20" customWidth="1"/>
    <col min="12566" max="12800" width="9.33203125" style="20"/>
    <col min="12801" max="12801" width="98.44140625" style="20" customWidth="1"/>
    <col min="12802" max="12802" width="73.33203125" style="20" customWidth="1"/>
    <col min="12803" max="12818" width="30.109375" style="20" customWidth="1"/>
    <col min="12819" max="12819" width="3.109375" style="20" customWidth="1"/>
    <col min="12820" max="12820" width="82" style="20" customWidth="1"/>
    <col min="12821" max="12821" width="96.44140625" style="20" customWidth="1"/>
    <col min="12822" max="13056" width="9.33203125" style="20"/>
    <col min="13057" max="13057" width="98.44140625" style="20" customWidth="1"/>
    <col min="13058" max="13058" width="73.33203125" style="20" customWidth="1"/>
    <col min="13059" max="13074" width="30.109375" style="20" customWidth="1"/>
    <col min="13075" max="13075" width="3.109375" style="20" customWidth="1"/>
    <col min="13076" max="13076" width="82" style="20" customWidth="1"/>
    <col min="13077" max="13077" width="96.44140625" style="20" customWidth="1"/>
    <col min="13078" max="13312" width="9.33203125" style="20"/>
    <col min="13313" max="13313" width="98.44140625" style="20" customWidth="1"/>
    <col min="13314" max="13314" width="73.33203125" style="20" customWidth="1"/>
    <col min="13315" max="13330" width="30.109375" style="20" customWidth="1"/>
    <col min="13331" max="13331" width="3.109375" style="20" customWidth="1"/>
    <col min="13332" max="13332" width="82" style="20" customWidth="1"/>
    <col min="13333" max="13333" width="96.44140625" style="20" customWidth="1"/>
    <col min="13334" max="13568" width="9.33203125" style="20"/>
    <col min="13569" max="13569" width="98.44140625" style="20" customWidth="1"/>
    <col min="13570" max="13570" width="73.33203125" style="20" customWidth="1"/>
    <col min="13571" max="13586" width="30.109375" style="20" customWidth="1"/>
    <col min="13587" max="13587" width="3.109375" style="20" customWidth="1"/>
    <col min="13588" max="13588" width="82" style="20" customWidth="1"/>
    <col min="13589" max="13589" width="96.44140625" style="20" customWidth="1"/>
    <col min="13590" max="13824" width="9.33203125" style="20"/>
    <col min="13825" max="13825" width="98.44140625" style="20" customWidth="1"/>
    <col min="13826" max="13826" width="73.33203125" style="20" customWidth="1"/>
    <col min="13827" max="13842" width="30.109375" style="20" customWidth="1"/>
    <col min="13843" max="13843" width="3.109375" style="20" customWidth="1"/>
    <col min="13844" max="13844" width="82" style="20" customWidth="1"/>
    <col min="13845" max="13845" width="96.44140625" style="20" customWidth="1"/>
    <col min="13846" max="14080" width="9.33203125" style="20"/>
    <col min="14081" max="14081" width="98.44140625" style="20" customWidth="1"/>
    <col min="14082" max="14082" width="73.33203125" style="20" customWidth="1"/>
    <col min="14083" max="14098" width="30.109375" style="20" customWidth="1"/>
    <col min="14099" max="14099" width="3.109375" style="20" customWidth="1"/>
    <col min="14100" max="14100" width="82" style="20" customWidth="1"/>
    <col min="14101" max="14101" width="96.44140625" style="20" customWidth="1"/>
    <col min="14102" max="14336" width="9.33203125" style="20"/>
    <col min="14337" max="14337" width="98.44140625" style="20" customWidth="1"/>
    <col min="14338" max="14338" width="73.33203125" style="20" customWidth="1"/>
    <col min="14339" max="14354" width="30.109375" style="20" customWidth="1"/>
    <col min="14355" max="14355" width="3.109375" style="20" customWidth="1"/>
    <col min="14356" max="14356" width="82" style="20" customWidth="1"/>
    <col min="14357" max="14357" width="96.44140625" style="20" customWidth="1"/>
    <col min="14358" max="14592" width="9.33203125" style="20"/>
    <col min="14593" max="14593" width="98.44140625" style="20" customWidth="1"/>
    <col min="14594" max="14594" width="73.33203125" style="20" customWidth="1"/>
    <col min="14595" max="14610" width="30.109375" style="20" customWidth="1"/>
    <col min="14611" max="14611" width="3.109375" style="20" customWidth="1"/>
    <col min="14612" max="14612" width="82" style="20" customWidth="1"/>
    <col min="14613" max="14613" width="96.44140625" style="20" customWidth="1"/>
    <col min="14614" max="14848" width="9.33203125" style="20"/>
    <col min="14849" max="14849" width="98.44140625" style="20" customWidth="1"/>
    <col min="14850" max="14850" width="73.33203125" style="20" customWidth="1"/>
    <col min="14851" max="14866" width="30.109375" style="20" customWidth="1"/>
    <col min="14867" max="14867" width="3.109375" style="20" customWidth="1"/>
    <col min="14868" max="14868" width="82" style="20" customWidth="1"/>
    <col min="14869" max="14869" width="96.44140625" style="20" customWidth="1"/>
    <col min="14870" max="15104" width="9.33203125" style="20"/>
    <col min="15105" max="15105" width="98.44140625" style="20" customWidth="1"/>
    <col min="15106" max="15106" width="73.33203125" style="20" customWidth="1"/>
    <col min="15107" max="15122" width="30.109375" style="20" customWidth="1"/>
    <col min="15123" max="15123" width="3.109375" style="20" customWidth="1"/>
    <col min="15124" max="15124" width="82" style="20" customWidth="1"/>
    <col min="15125" max="15125" width="96.44140625" style="20" customWidth="1"/>
    <col min="15126" max="15360" width="9.33203125" style="20"/>
    <col min="15361" max="15361" width="98.44140625" style="20" customWidth="1"/>
    <col min="15362" max="15362" width="73.33203125" style="20" customWidth="1"/>
    <col min="15363" max="15378" width="30.109375" style="20" customWidth="1"/>
    <col min="15379" max="15379" width="3.109375" style="20" customWidth="1"/>
    <col min="15380" max="15380" width="82" style="20" customWidth="1"/>
    <col min="15381" max="15381" width="96.44140625" style="20" customWidth="1"/>
    <col min="15382" max="15616" width="9.33203125" style="20"/>
    <col min="15617" max="15617" width="98.44140625" style="20" customWidth="1"/>
    <col min="15618" max="15618" width="73.33203125" style="20" customWidth="1"/>
    <col min="15619" max="15634" width="30.109375" style="20" customWidth="1"/>
    <col min="15635" max="15635" width="3.109375" style="20" customWidth="1"/>
    <col min="15636" max="15636" width="82" style="20" customWidth="1"/>
    <col min="15637" max="15637" width="96.44140625" style="20" customWidth="1"/>
    <col min="15638" max="15872" width="9.33203125" style="20"/>
    <col min="15873" max="15873" width="98.44140625" style="20" customWidth="1"/>
    <col min="15874" max="15874" width="73.33203125" style="20" customWidth="1"/>
    <col min="15875" max="15890" width="30.109375" style="20" customWidth="1"/>
    <col min="15891" max="15891" width="3.109375" style="20" customWidth="1"/>
    <col min="15892" max="15892" width="82" style="20" customWidth="1"/>
    <col min="15893" max="15893" width="96.44140625" style="20" customWidth="1"/>
    <col min="15894" max="16128" width="9.33203125" style="20"/>
    <col min="16129" max="16129" width="98.44140625" style="20" customWidth="1"/>
    <col min="16130" max="16130" width="73.33203125" style="20" customWidth="1"/>
    <col min="16131" max="16146" width="30.109375" style="20" customWidth="1"/>
    <col min="16147" max="16147" width="3.109375" style="20" customWidth="1"/>
    <col min="16148" max="16148" width="82" style="20" customWidth="1"/>
    <col min="16149" max="16149" width="96.44140625" style="20" customWidth="1"/>
    <col min="16150" max="16384" width="9.33203125" style="20"/>
  </cols>
  <sheetData>
    <row r="2" spans="1:21" s="2" customFormat="1" ht="54.75" customHeight="1" x14ac:dyDescent="0.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s="2" customFormat="1" ht="54.75" hidden="1" customHeight="1" x14ac:dyDescent="0.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s="2" customFormat="1" ht="49.2" customHeight="1" thickBot="1" x14ac:dyDescent="0.55000000000000004">
      <c r="A4" s="1"/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 t="s">
        <v>2</v>
      </c>
      <c r="T4" s="5"/>
      <c r="U4" s="1"/>
    </row>
    <row r="5" spans="1:21" s="2" customFormat="1" ht="43.5" hidden="1" customHeight="1" x14ac:dyDescent="0.5">
      <c r="A5" s="1"/>
      <c r="B5" s="1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7" t="s">
        <v>3</v>
      </c>
      <c r="T5" s="8"/>
      <c r="U5" s="1"/>
    </row>
    <row r="6" spans="1:21" s="14" customFormat="1" ht="36.75" customHeight="1" x14ac:dyDescent="0.45">
      <c r="A6" s="9" t="s">
        <v>4</v>
      </c>
      <c r="B6" s="10"/>
      <c r="C6" s="11">
        <v>2009</v>
      </c>
      <c r="D6" s="11">
        <v>2010</v>
      </c>
      <c r="E6" s="11">
        <v>2011</v>
      </c>
      <c r="F6" s="11">
        <v>2012</v>
      </c>
      <c r="G6" s="11">
        <v>2013</v>
      </c>
      <c r="H6" s="11">
        <v>2014</v>
      </c>
      <c r="I6" s="11">
        <v>2015</v>
      </c>
      <c r="J6" s="11">
        <v>2016</v>
      </c>
      <c r="K6" s="11">
        <v>2017</v>
      </c>
      <c r="L6" s="11">
        <v>2018</v>
      </c>
      <c r="M6" s="11">
        <v>2019</v>
      </c>
      <c r="N6" s="11">
        <v>2020</v>
      </c>
      <c r="O6" s="11">
        <v>2021</v>
      </c>
      <c r="P6" s="11">
        <v>2022</v>
      </c>
      <c r="Q6" s="11">
        <v>2023</v>
      </c>
      <c r="R6" s="11">
        <v>2024</v>
      </c>
      <c r="S6" s="12"/>
      <c r="T6" s="13"/>
      <c r="U6" s="9" t="s">
        <v>5</v>
      </c>
    </row>
    <row r="7" spans="1:21" ht="27.75" customHeight="1" x14ac:dyDescent="0.45">
      <c r="A7" s="15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8"/>
      <c r="T7" s="19"/>
      <c r="U7" s="15"/>
    </row>
    <row r="8" spans="1:21" ht="30.6" customHeight="1" x14ac:dyDescent="0.45">
      <c r="A8" s="21"/>
      <c r="B8" s="22" t="s">
        <v>6</v>
      </c>
      <c r="C8" s="17">
        <v>1013.5102416229058</v>
      </c>
      <c r="D8" s="17">
        <v>1176.0479689760048</v>
      </c>
      <c r="E8" s="17">
        <v>1413.9844611712451</v>
      </c>
      <c r="F8" s="17">
        <v>1590.0492952562151</v>
      </c>
      <c r="G8" s="17">
        <v>1831.7439705024547</v>
      </c>
      <c r="H8" s="17">
        <v>2062.3581791737347</v>
      </c>
      <c r="I8" s="17">
        <v>2354.0591269687034</v>
      </c>
      <c r="J8" s="17">
        <v>2629.9879715058055</v>
      </c>
      <c r="K8" s="17">
        <v>3151.5291528905123</v>
      </c>
      <c r="L8" s="17">
        <v>3806.4792193584585</v>
      </c>
      <c r="M8" s="17">
        <v>4402.0503108585253</v>
      </c>
      <c r="N8" s="17">
        <v>5141.7106009408008</v>
      </c>
      <c r="O8" s="17">
        <v>7433.7999082852448</v>
      </c>
      <c r="P8" s="17">
        <v>15325.857491822489</v>
      </c>
      <c r="Q8" s="17">
        <v>27091.469064701076</v>
      </c>
      <c r="R8" s="17">
        <v>44587.225440198388</v>
      </c>
      <c r="S8" s="23"/>
      <c r="T8" s="22" t="s">
        <v>7</v>
      </c>
      <c r="U8" s="24"/>
    </row>
    <row r="9" spans="1:21" ht="30.6" customHeight="1" x14ac:dyDescent="0.45">
      <c r="A9" s="21"/>
      <c r="B9" s="22" t="s">
        <v>8</v>
      </c>
      <c r="C9" s="17">
        <v>107.96988773605001</v>
      </c>
      <c r="D9" s="17">
        <v>140.25212810434476</v>
      </c>
      <c r="E9" s="17">
        <v>167.54954896664003</v>
      </c>
      <c r="F9" s="17">
        <v>183.93437600576002</v>
      </c>
      <c r="G9" s="17">
        <v>224.10128443051002</v>
      </c>
      <c r="H9" s="17">
        <v>235.83001841201002</v>
      </c>
      <c r="I9" s="17">
        <v>277.61362612358005</v>
      </c>
      <c r="J9" s="17">
        <v>309.06401465157001</v>
      </c>
      <c r="K9" s="17">
        <v>353.19532863063</v>
      </c>
      <c r="L9" s="17">
        <v>388.11379922671</v>
      </c>
      <c r="M9" s="17">
        <v>428.97435595358974</v>
      </c>
      <c r="N9" s="17">
        <v>552.09110216805311</v>
      </c>
      <c r="O9" s="17">
        <v>764.13500061470995</v>
      </c>
      <c r="P9" s="17">
        <v>1569.0330786107882</v>
      </c>
      <c r="Q9" s="17">
        <v>2997.6416698979679</v>
      </c>
      <c r="R9" s="17">
        <v>4973.5844865517302</v>
      </c>
      <c r="S9" s="23"/>
      <c r="T9" s="22" t="s">
        <v>9</v>
      </c>
      <c r="U9" s="21"/>
    </row>
    <row r="10" spans="1:21" ht="30.6" customHeight="1" x14ac:dyDescent="0.45">
      <c r="A10" s="87" t="s">
        <v>10</v>
      </c>
      <c r="B10" s="25" t="s">
        <v>11</v>
      </c>
      <c r="C10" s="26">
        <v>905.54035388685611</v>
      </c>
      <c r="D10" s="26">
        <v>1035.7958408716602</v>
      </c>
      <c r="E10" s="26">
        <v>1246.4349122046053</v>
      </c>
      <c r="F10" s="26">
        <v>1406.1149192504549</v>
      </c>
      <c r="G10" s="26">
        <v>1607.642686071945</v>
      </c>
      <c r="H10" s="26">
        <v>1826.5281607617237</v>
      </c>
      <c r="I10" s="26">
        <v>2076.4455008451237</v>
      </c>
      <c r="J10" s="26">
        <v>2320.9239568542357</v>
      </c>
      <c r="K10" s="26">
        <v>2798.3338242598829</v>
      </c>
      <c r="L10" s="26">
        <v>3418.3654201317486</v>
      </c>
      <c r="M10" s="26">
        <v>3973.0759549049349</v>
      </c>
      <c r="N10" s="26">
        <v>4589.6194987727467</v>
      </c>
      <c r="O10" s="26">
        <v>6669.6649076705353</v>
      </c>
      <c r="P10" s="26">
        <v>13756.824413211702</v>
      </c>
      <c r="Q10" s="26">
        <v>24093.827394803109</v>
      </c>
      <c r="R10" s="26">
        <v>39613.64095364666</v>
      </c>
      <c r="S10" s="27"/>
      <c r="T10" s="25" t="s">
        <v>12</v>
      </c>
      <c r="U10" s="87" t="s">
        <v>13</v>
      </c>
    </row>
    <row r="11" spans="1:21" ht="30.6" customHeight="1" x14ac:dyDescent="0.45">
      <c r="A11" s="88"/>
      <c r="B11" s="28" t="s">
        <v>14</v>
      </c>
      <c r="C11" s="17">
        <v>269.24643527879169</v>
      </c>
      <c r="D11" s="17">
        <v>314.75090210775642</v>
      </c>
      <c r="E11" s="17">
        <v>372.45094905125103</v>
      </c>
      <c r="F11" s="17">
        <v>440.03342125892402</v>
      </c>
      <c r="G11" s="17">
        <v>508.42351010332658</v>
      </c>
      <c r="H11" s="17">
        <v>593.45553318563339</v>
      </c>
      <c r="I11" s="17">
        <v>694.95080785736172</v>
      </c>
      <c r="J11" s="17">
        <v>841.764762715507</v>
      </c>
      <c r="K11" s="17">
        <v>948.54571094538483</v>
      </c>
      <c r="L11" s="17">
        <v>1119.404964888658</v>
      </c>
      <c r="M11" s="17">
        <v>1344.973687422131</v>
      </c>
      <c r="N11" s="17">
        <v>1489.512160449993</v>
      </c>
      <c r="O11" s="17">
        <v>1970.2192357742942</v>
      </c>
      <c r="P11" s="17">
        <v>3587.6096318837544</v>
      </c>
      <c r="Q11" s="17">
        <v>7755.5154000089778</v>
      </c>
      <c r="R11" s="17">
        <v>14670.744226175402</v>
      </c>
      <c r="S11" s="23"/>
      <c r="T11" s="28" t="s">
        <v>15</v>
      </c>
      <c r="U11" s="88"/>
    </row>
    <row r="12" spans="1:21" ht="30.6" customHeight="1" x14ac:dyDescent="0.45">
      <c r="A12" s="88"/>
      <c r="B12" s="28" t="s">
        <v>16</v>
      </c>
      <c r="C12" s="17">
        <v>7.7261590834379552</v>
      </c>
      <c r="D12" s="17">
        <v>9.1569840464590868</v>
      </c>
      <c r="E12" s="17">
        <v>10.199302625585499</v>
      </c>
      <c r="F12" s="17">
        <v>11.732428170431</v>
      </c>
      <c r="G12" s="17">
        <v>13.915144069574998</v>
      </c>
      <c r="H12" s="17">
        <v>15.869739684210998</v>
      </c>
      <c r="I12" s="17">
        <v>18.599664697573989</v>
      </c>
      <c r="J12" s="17">
        <v>20.060471985375479</v>
      </c>
      <c r="K12" s="17">
        <v>23.855217714411012</v>
      </c>
      <c r="L12" s="17">
        <v>26.811340936727213</v>
      </c>
      <c r="M12" s="17">
        <v>32.338149317611013</v>
      </c>
      <c r="N12" s="17">
        <v>41.405577389754512</v>
      </c>
      <c r="O12" s="17">
        <v>48.144093102339504</v>
      </c>
      <c r="P12" s="17">
        <v>69.584038664924009</v>
      </c>
      <c r="Q12" s="17">
        <v>148.48917260716968</v>
      </c>
      <c r="R12" s="17">
        <v>220.71030961490857</v>
      </c>
      <c r="S12" s="23"/>
      <c r="T12" s="28" t="s">
        <v>17</v>
      </c>
      <c r="U12" s="88"/>
    </row>
    <row r="13" spans="1:21" ht="30.6" customHeight="1" x14ac:dyDescent="0.45">
      <c r="A13" s="88"/>
      <c r="B13" s="28" t="s">
        <v>18</v>
      </c>
      <c r="C13" s="17">
        <v>10.379494180659504</v>
      </c>
      <c r="D13" s="17">
        <v>9.5437091630199937</v>
      </c>
      <c r="E13" s="17">
        <v>10.378036066609999</v>
      </c>
      <c r="F13" s="17">
        <v>13.119170900809999</v>
      </c>
      <c r="G13" s="17">
        <v>15.911787949039999</v>
      </c>
      <c r="H13" s="17">
        <v>17.338530533149996</v>
      </c>
      <c r="I13" s="17">
        <v>21.181146108980009</v>
      </c>
      <c r="J13" s="17">
        <v>33.529411299770004</v>
      </c>
      <c r="K13" s="17">
        <v>43.700508246010003</v>
      </c>
      <c r="L13" s="17">
        <v>53.746606113390015</v>
      </c>
      <c r="M13" s="17">
        <v>61.383055503230004</v>
      </c>
      <c r="N13" s="17">
        <v>97.703724590600032</v>
      </c>
      <c r="O13" s="17">
        <v>135.89940415656</v>
      </c>
      <c r="P13" s="17">
        <v>153.45314645021003</v>
      </c>
      <c r="Q13" s="17">
        <v>469.54198453767998</v>
      </c>
      <c r="R13" s="17">
        <v>945.93811639558987</v>
      </c>
      <c r="S13" s="23"/>
      <c r="T13" s="28" t="s">
        <v>19</v>
      </c>
      <c r="U13" s="88"/>
    </row>
    <row r="14" spans="1:21" ht="30.6" customHeight="1" x14ac:dyDescent="0.45">
      <c r="A14" s="88"/>
      <c r="B14" s="22" t="s">
        <v>20</v>
      </c>
      <c r="C14" s="17">
        <v>638.94725370528602</v>
      </c>
      <c r="D14" s="17">
        <v>721.4316638804645</v>
      </c>
      <c r="E14" s="17">
        <v>874.16269659437876</v>
      </c>
      <c r="F14" s="17">
        <v>967.46824072190986</v>
      </c>
      <c r="G14" s="17">
        <v>1101.2158198480834</v>
      </c>
      <c r="H14" s="17">
        <v>1234.5414184250292</v>
      </c>
      <c r="I14" s="17">
        <v>1384.0761743991679</v>
      </c>
      <c r="J14" s="17">
        <v>1492.6281334531234</v>
      </c>
      <c r="K14" s="17">
        <v>1869.6334038460971</v>
      </c>
      <c r="L14" s="17">
        <v>2325.8957204197536</v>
      </c>
      <c r="M14" s="17">
        <v>2657.1471736684225</v>
      </c>
      <c r="N14" s="17">
        <v>3156.4054855235995</v>
      </c>
      <c r="O14" s="17">
        <v>4787.2009829504614</v>
      </c>
      <c r="P14" s="17">
        <v>10253.083889113233</v>
      </c>
      <c r="Q14" s="17">
        <v>16659.364806724639</v>
      </c>
      <c r="R14" s="17">
        <v>25668.12453425194</v>
      </c>
      <c r="S14" s="23"/>
      <c r="T14" s="22" t="s">
        <v>21</v>
      </c>
      <c r="U14" s="88"/>
    </row>
    <row r="15" spans="1:21" ht="30.6" customHeight="1" x14ac:dyDescent="0.45">
      <c r="A15" s="88"/>
      <c r="B15" s="22" t="s">
        <v>22</v>
      </c>
      <c r="C15" s="17">
        <v>162.31998011963935</v>
      </c>
      <c r="D15" s="17">
        <v>174.14390433294668</v>
      </c>
      <c r="E15" s="17">
        <v>200.26189569993409</v>
      </c>
      <c r="F15" s="17">
        <v>227.89661621352428</v>
      </c>
      <c r="G15" s="17">
        <v>255.35862737129204</v>
      </c>
      <c r="H15" s="17">
        <v>297.62990957654688</v>
      </c>
      <c r="I15" s="17">
        <v>343.29426682602912</v>
      </c>
      <c r="J15" s="17">
        <v>394.10142016803456</v>
      </c>
      <c r="K15" s="17">
        <v>472.15565304876191</v>
      </c>
      <c r="L15" s="17">
        <v>607.49541694293043</v>
      </c>
      <c r="M15" s="17">
        <v>735.48835498998062</v>
      </c>
      <c r="N15" s="17">
        <v>874.72789209316159</v>
      </c>
      <c r="O15" s="17">
        <v>1265.706823158921</v>
      </c>
      <c r="P15" s="17">
        <v>2860.6202815587931</v>
      </c>
      <c r="Q15" s="17">
        <v>5333.1451850696221</v>
      </c>
      <c r="R15" s="17">
        <v>8577.6244727114772</v>
      </c>
      <c r="S15" s="23"/>
      <c r="T15" s="22" t="s">
        <v>23</v>
      </c>
      <c r="U15" s="88"/>
    </row>
    <row r="16" spans="1:21" ht="30.6" customHeight="1" x14ac:dyDescent="0.45">
      <c r="A16" s="89"/>
      <c r="B16" s="29" t="s">
        <v>24</v>
      </c>
      <c r="C16" s="30">
        <v>476.62727358564661</v>
      </c>
      <c r="D16" s="30">
        <v>547.28775954751791</v>
      </c>
      <c r="E16" s="30">
        <v>673.90080089444461</v>
      </c>
      <c r="F16" s="30">
        <v>739.57162450838564</v>
      </c>
      <c r="G16" s="30">
        <v>845.85719247679117</v>
      </c>
      <c r="H16" s="30">
        <v>936.91150884848241</v>
      </c>
      <c r="I16" s="30">
        <v>1040.7819075731391</v>
      </c>
      <c r="J16" s="30">
        <v>1098.5267132850888</v>
      </c>
      <c r="K16" s="30">
        <v>1397.4777507973351</v>
      </c>
      <c r="L16" s="30">
        <v>1718.4003034768232</v>
      </c>
      <c r="M16" s="30">
        <v>1921.658818678442</v>
      </c>
      <c r="N16" s="30">
        <v>2281.6775934304383</v>
      </c>
      <c r="O16" s="30">
        <v>3521.4941597915404</v>
      </c>
      <c r="P16" s="30">
        <v>7392.4636075544404</v>
      </c>
      <c r="Q16" s="30">
        <v>11326.219621655018</v>
      </c>
      <c r="R16" s="30">
        <v>17090.500061540464</v>
      </c>
      <c r="S16" s="31"/>
      <c r="T16" s="29" t="s">
        <v>25</v>
      </c>
      <c r="U16" s="89"/>
    </row>
    <row r="17" spans="1:21" ht="30.6" customHeight="1" x14ac:dyDescent="0.45">
      <c r="A17" s="81" t="s">
        <v>26</v>
      </c>
      <c r="B17" s="25" t="s">
        <v>11</v>
      </c>
      <c r="C17" s="26">
        <v>81.278723934917807</v>
      </c>
      <c r="D17" s="26">
        <v>104.7550572369737</v>
      </c>
      <c r="E17" s="26">
        <v>114.90864405864592</v>
      </c>
      <c r="F17" s="26">
        <v>121.77146027017109</v>
      </c>
      <c r="G17" s="26">
        <v>121.8104723794807</v>
      </c>
      <c r="H17" s="26">
        <v>134.84276123828391</v>
      </c>
      <c r="I17" s="26">
        <v>161.88625314423788</v>
      </c>
      <c r="J17" s="26">
        <v>164.78352598332484</v>
      </c>
      <c r="K17" s="26">
        <v>195.28208466542978</v>
      </c>
      <c r="L17" s="26">
        <v>228.54810729678832</v>
      </c>
      <c r="M17" s="26">
        <v>292.91918755236156</v>
      </c>
      <c r="N17" s="26">
        <v>354.3268931490615</v>
      </c>
      <c r="O17" s="26">
        <v>424.0894917936983</v>
      </c>
      <c r="P17" s="26">
        <v>1025.8530712566244</v>
      </c>
      <c r="Q17" s="26">
        <v>1731.10314637594</v>
      </c>
      <c r="R17" s="26">
        <v>2595.1658730811287</v>
      </c>
      <c r="S17" s="27"/>
      <c r="T17" s="25" t="s">
        <v>12</v>
      </c>
      <c r="U17" s="81" t="s">
        <v>27</v>
      </c>
    </row>
    <row r="18" spans="1:21" ht="30.6" customHeight="1" x14ac:dyDescent="0.45">
      <c r="A18" s="82"/>
      <c r="B18" s="28" t="s">
        <v>14</v>
      </c>
      <c r="C18" s="17">
        <v>2.6331710568290876</v>
      </c>
      <c r="D18" s="17">
        <v>3.1435932710871075</v>
      </c>
      <c r="E18" s="17">
        <v>3.8410399167462494</v>
      </c>
      <c r="F18" s="17">
        <v>4.8873730638015997</v>
      </c>
      <c r="G18" s="17">
        <v>5.5873925555180062</v>
      </c>
      <c r="H18" s="17">
        <v>6.305739630058655</v>
      </c>
      <c r="I18" s="17">
        <v>7.2887040059195662</v>
      </c>
      <c r="J18" s="17">
        <v>8.9812996058059706</v>
      </c>
      <c r="K18" s="17">
        <v>10.24081417223301</v>
      </c>
      <c r="L18" s="17">
        <v>12.196522458236803</v>
      </c>
      <c r="M18" s="17">
        <v>15.115030949231256</v>
      </c>
      <c r="N18" s="17">
        <v>17.670268730787438</v>
      </c>
      <c r="O18" s="17">
        <v>22.187984011310352</v>
      </c>
      <c r="P18" s="17">
        <v>38.569079600945244</v>
      </c>
      <c r="Q18" s="17">
        <v>81.841475204088709</v>
      </c>
      <c r="R18" s="17">
        <v>150.53820809857331</v>
      </c>
      <c r="S18" s="23"/>
      <c r="T18" s="28" t="s">
        <v>15</v>
      </c>
      <c r="U18" s="82"/>
    </row>
    <row r="19" spans="1:21" ht="30.6" customHeight="1" x14ac:dyDescent="0.45">
      <c r="A19" s="82"/>
      <c r="B19" s="28" t="s">
        <v>16</v>
      </c>
      <c r="C19" s="17">
        <v>3.0673902862605068E-3</v>
      </c>
      <c r="D19" s="17">
        <v>6.5366188811475821E-3</v>
      </c>
      <c r="E19" s="17">
        <v>3.6918621570573729E-3</v>
      </c>
      <c r="F19" s="17">
        <v>5.4203588967768283E-3</v>
      </c>
      <c r="G19" s="17">
        <v>7.2868957305321147E-3</v>
      </c>
      <c r="H19" s="17">
        <v>6.0404533194285534E-3</v>
      </c>
      <c r="I19" s="17">
        <v>2.1529540108648486E-2</v>
      </c>
      <c r="J19" s="17">
        <v>1.9120162732597853E-2</v>
      </c>
      <c r="K19" s="17">
        <v>1.7540919093121721E-2</v>
      </c>
      <c r="L19" s="17">
        <v>1.4990219636403877E-2</v>
      </c>
      <c r="M19" s="17">
        <v>2.9049644344550908E-2</v>
      </c>
      <c r="N19" s="17">
        <v>4.7673388846057076E-2</v>
      </c>
      <c r="O19" s="17">
        <v>3.6638073698645357E-2</v>
      </c>
      <c r="P19" s="17">
        <v>3.1729094468317946E-2</v>
      </c>
      <c r="Q19" s="17">
        <v>8.9104664954931953E-2</v>
      </c>
      <c r="R19" s="17">
        <v>0.13852875117208951</v>
      </c>
      <c r="S19" s="23"/>
      <c r="T19" s="28" t="s">
        <v>17</v>
      </c>
      <c r="U19" s="82"/>
    </row>
    <row r="20" spans="1:21" ht="30.6" customHeight="1" x14ac:dyDescent="0.45">
      <c r="A20" s="82"/>
      <c r="B20" s="28" t="s">
        <v>18</v>
      </c>
      <c r="C20" s="17">
        <v>3.3188442772288309</v>
      </c>
      <c r="D20" s="17">
        <v>5.6735506955495634</v>
      </c>
      <c r="E20" s="17">
        <v>5.5556594810982034</v>
      </c>
      <c r="F20" s="17">
        <v>7.0861094412778289</v>
      </c>
      <c r="G20" s="17">
        <v>7.6029208621319802</v>
      </c>
      <c r="H20" s="17">
        <v>3.9356620030226495</v>
      </c>
      <c r="I20" s="17">
        <v>4.8790336263200009</v>
      </c>
      <c r="J20" s="17">
        <v>5.3923230000799993</v>
      </c>
      <c r="K20" s="17">
        <v>5.0522795191599998</v>
      </c>
      <c r="L20" s="17">
        <v>7.2177144363700005</v>
      </c>
      <c r="M20" s="17">
        <v>7.7636301433799995</v>
      </c>
      <c r="N20" s="17">
        <v>9.1971893270499994</v>
      </c>
      <c r="O20" s="17">
        <v>12.855605691440003</v>
      </c>
      <c r="P20" s="17">
        <v>21.111011349160002</v>
      </c>
      <c r="Q20" s="17">
        <v>40.499909980130006</v>
      </c>
      <c r="R20" s="17">
        <v>44.118877520900007</v>
      </c>
      <c r="S20" s="23"/>
      <c r="T20" s="28" t="s">
        <v>19</v>
      </c>
      <c r="U20" s="82"/>
    </row>
    <row r="21" spans="1:21" ht="30.6" customHeight="1" x14ac:dyDescent="0.45">
      <c r="A21" s="83"/>
      <c r="B21" s="29" t="s">
        <v>20</v>
      </c>
      <c r="C21" s="30">
        <v>81.96132976503128</v>
      </c>
      <c r="D21" s="30">
        <v>107.27847804255501</v>
      </c>
      <c r="E21" s="30">
        <v>116.61957176084081</v>
      </c>
      <c r="F21" s="30">
        <v>123.96477628875054</v>
      </c>
      <c r="G21" s="30">
        <v>123.81871379036416</v>
      </c>
      <c r="H21" s="30">
        <v>132.46664315792847</v>
      </c>
      <c r="I21" s="30">
        <v>159.45505322452965</v>
      </c>
      <c r="J21" s="30">
        <v>161.17542921486626</v>
      </c>
      <c r="K21" s="30">
        <v>190.07600909326362</v>
      </c>
      <c r="L21" s="30">
        <v>223.5543090552851</v>
      </c>
      <c r="M21" s="30">
        <v>285.53873710216573</v>
      </c>
      <c r="N21" s="30">
        <v>345.80614035647795</v>
      </c>
      <c r="O21" s="30">
        <v>414.72047540012932</v>
      </c>
      <c r="P21" s="30">
        <v>1008.3632739103708</v>
      </c>
      <c r="Q21" s="30">
        <v>1689.6724764870264</v>
      </c>
      <c r="R21" s="30">
        <v>2488.6080137522831</v>
      </c>
      <c r="S21" s="31"/>
      <c r="T21" s="29" t="s">
        <v>25</v>
      </c>
      <c r="U21" s="83"/>
    </row>
    <row r="22" spans="1:21" ht="30.6" customHeight="1" x14ac:dyDescent="0.45">
      <c r="A22" s="81" t="s">
        <v>28</v>
      </c>
      <c r="B22" s="25" t="s">
        <v>11</v>
      </c>
      <c r="C22" s="26">
        <v>11.232968216190944</v>
      </c>
      <c r="D22" s="26">
        <v>12.715729156982809</v>
      </c>
      <c r="E22" s="26">
        <v>15.796349165329794</v>
      </c>
      <c r="F22" s="26">
        <v>17.246341885099252</v>
      </c>
      <c r="G22" s="26">
        <v>19.694945230835984</v>
      </c>
      <c r="H22" s="26">
        <v>19.401661452285079</v>
      </c>
      <c r="I22" s="26">
        <v>19.245124866570521</v>
      </c>
      <c r="J22" s="26">
        <v>21.263445713053674</v>
      </c>
      <c r="K22" s="26">
        <v>27.973408809171008</v>
      </c>
      <c r="L22" s="26">
        <v>37.519868492286463</v>
      </c>
      <c r="M22" s="26">
        <v>47.635253400217486</v>
      </c>
      <c r="N22" s="26">
        <v>58.55001997065564</v>
      </c>
      <c r="O22" s="26">
        <v>95.245079000472543</v>
      </c>
      <c r="P22" s="26">
        <v>201.40002413620599</v>
      </c>
      <c r="Q22" s="26">
        <v>267.80912176494616</v>
      </c>
      <c r="R22" s="26">
        <v>403.4198877331811</v>
      </c>
      <c r="S22" s="27"/>
      <c r="T22" s="25" t="s">
        <v>12</v>
      </c>
      <c r="U22" s="81" t="s">
        <v>29</v>
      </c>
    </row>
    <row r="23" spans="1:21" ht="30.6" customHeight="1" x14ac:dyDescent="0.45">
      <c r="A23" s="82"/>
      <c r="B23" s="28" t="s">
        <v>14</v>
      </c>
      <c r="C23" s="17">
        <v>3.0612008506781483</v>
      </c>
      <c r="D23" s="17">
        <v>3.4925312099157568</v>
      </c>
      <c r="E23" s="17">
        <v>4.0209433042003235</v>
      </c>
      <c r="F23" s="17">
        <v>4.4950371185692921</v>
      </c>
      <c r="G23" s="17">
        <v>5.1301924628068427</v>
      </c>
      <c r="H23" s="17">
        <v>5.8474053684975011</v>
      </c>
      <c r="I23" s="17">
        <v>7.0781101885524667</v>
      </c>
      <c r="J23" s="17">
        <v>8.3879970961141694</v>
      </c>
      <c r="K23" s="17">
        <v>9.6816726030604752</v>
      </c>
      <c r="L23" s="17">
        <v>11.269314230913769</v>
      </c>
      <c r="M23" s="17">
        <v>13.09587630808393</v>
      </c>
      <c r="N23" s="17">
        <v>14.646828262727192</v>
      </c>
      <c r="O23" s="17">
        <v>19.767392292257075</v>
      </c>
      <c r="P23" s="17">
        <v>36.021109915669363</v>
      </c>
      <c r="Q23" s="17">
        <v>74.387887882753702</v>
      </c>
      <c r="R23" s="17">
        <v>136.82193464457947</v>
      </c>
      <c r="S23" s="23"/>
      <c r="T23" s="28" t="s">
        <v>15</v>
      </c>
      <c r="U23" s="82"/>
    </row>
    <row r="24" spans="1:21" ht="30.6" customHeight="1" x14ac:dyDescent="0.45">
      <c r="A24" s="82"/>
      <c r="B24" s="28" t="s">
        <v>16</v>
      </c>
      <c r="C24" s="17">
        <v>3.7124359067145583E-2</v>
      </c>
      <c r="D24" s="17">
        <v>5.1799320759238765E-2</v>
      </c>
      <c r="E24" s="17">
        <v>5.0076090013594185E-2</v>
      </c>
      <c r="F24" s="17">
        <v>7.1721451487600299E-2</v>
      </c>
      <c r="G24" s="17">
        <v>8.3799955965613168E-2</v>
      </c>
      <c r="H24" s="17">
        <v>8.9985224410648643E-2</v>
      </c>
      <c r="I24" s="17">
        <v>0.12154395045458806</v>
      </c>
      <c r="J24" s="17">
        <v>0.15682089160490434</v>
      </c>
      <c r="K24" s="17">
        <v>0.15684349888999505</v>
      </c>
      <c r="L24" s="17">
        <v>0.14362452754837823</v>
      </c>
      <c r="M24" s="17">
        <v>0.19390875803635066</v>
      </c>
      <c r="N24" s="17">
        <v>0.30475037061809529</v>
      </c>
      <c r="O24" s="17">
        <v>0.3041581539367722</v>
      </c>
      <c r="P24" s="17">
        <v>0.31102400233090466</v>
      </c>
      <c r="Q24" s="17">
        <v>0.65399410951250081</v>
      </c>
      <c r="R24" s="17">
        <v>1.0223693624321679</v>
      </c>
      <c r="S24" s="23"/>
      <c r="T24" s="28" t="s">
        <v>17</v>
      </c>
      <c r="U24" s="82"/>
    </row>
    <row r="25" spans="1:21" ht="30.6" customHeight="1" x14ac:dyDescent="0.45">
      <c r="A25" s="82"/>
      <c r="B25" s="28" t="s">
        <v>18</v>
      </c>
      <c r="C25" s="17">
        <v>0.52520834937854277</v>
      </c>
      <c r="D25" s="17">
        <v>1.0509885584262761</v>
      </c>
      <c r="E25" s="17">
        <v>0.80690306597297756</v>
      </c>
      <c r="F25" s="17">
        <v>7.3465714912431854E-2</v>
      </c>
      <c r="G25" s="17">
        <v>0.96993635086771801</v>
      </c>
      <c r="H25" s="17">
        <v>1.1489321480701165</v>
      </c>
      <c r="I25" s="17">
        <v>0.77269444460280268</v>
      </c>
      <c r="J25" s="17">
        <v>1.3024472970641778</v>
      </c>
      <c r="K25" s="17">
        <v>1.2908095047344104</v>
      </c>
      <c r="L25" s="17">
        <v>1.2080219379223955</v>
      </c>
      <c r="M25" s="17">
        <v>1.1620724836053138</v>
      </c>
      <c r="N25" s="17">
        <v>1.2217725092613112</v>
      </c>
      <c r="O25" s="17">
        <v>1.8673456757302616</v>
      </c>
      <c r="P25" s="17">
        <v>2.2620114919603451</v>
      </c>
      <c r="Q25" s="17">
        <v>8.015770458700807</v>
      </c>
      <c r="R25" s="17">
        <v>8.732456756488034</v>
      </c>
      <c r="S25" s="23"/>
      <c r="T25" s="28" t="s">
        <v>19</v>
      </c>
      <c r="U25" s="82"/>
    </row>
    <row r="26" spans="1:21" ht="30.6" customHeight="1" x14ac:dyDescent="0.45">
      <c r="A26" s="83"/>
      <c r="B26" s="29" t="s">
        <v>20</v>
      </c>
      <c r="C26" s="30">
        <v>8.659851355824193</v>
      </c>
      <c r="D26" s="30">
        <v>10.222387184734089</v>
      </c>
      <c r="E26" s="30">
        <v>12.532232837088856</v>
      </c>
      <c r="F26" s="30">
        <v>12.75304902995479</v>
      </c>
      <c r="G26" s="30">
        <v>15.450889162931247</v>
      </c>
      <c r="H26" s="30">
        <v>14.613203007447046</v>
      </c>
      <c r="I26" s="30">
        <v>12.818165172166269</v>
      </c>
      <c r="J26" s="30">
        <v>14.021075022398778</v>
      </c>
      <c r="K26" s="30">
        <v>19.425702211954956</v>
      </c>
      <c r="L26" s="30">
        <v>27.314951671746716</v>
      </c>
      <c r="M26" s="30">
        <v>35.50754081770252</v>
      </c>
      <c r="N26" s="30">
        <v>44.820213846571662</v>
      </c>
      <c r="O26" s="30">
        <v>77.040874230008953</v>
      </c>
      <c r="P26" s="30">
        <v>167.32990171016604</v>
      </c>
      <c r="Q26" s="30">
        <v>200.78301023138073</v>
      </c>
      <c r="R26" s="30">
        <v>274.30804048265747</v>
      </c>
      <c r="S26" s="31"/>
      <c r="T26" s="29" t="s">
        <v>25</v>
      </c>
      <c r="U26" s="83"/>
    </row>
    <row r="27" spans="1:21" ht="30.6" customHeight="1" x14ac:dyDescent="0.45">
      <c r="A27" s="81" t="s">
        <v>30</v>
      </c>
      <c r="B27" s="25" t="s">
        <v>11</v>
      </c>
      <c r="C27" s="26">
        <v>154.18581986702125</v>
      </c>
      <c r="D27" s="26">
        <v>177.76948877491586</v>
      </c>
      <c r="E27" s="26">
        <v>233.73601244888275</v>
      </c>
      <c r="F27" s="26">
        <v>253.45752706116122</v>
      </c>
      <c r="G27" s="26">
        <v>300.42221636142239</v>
      </c>
      <c r="H27" s="26">
        <v>348.65933512429899</v>
      </c>
      <c r="I27" s="26">
        <v>394.75151517347314</v>
      </c>
      <c r="J27" s="26">
        <v>442.83769358415168</v>
      </c>
      <c r="K27" s="26">
        <v>553.85531135024451</v>
      </c>
      <c r="L27" s="26">
        <v>719.78624190966673</v>
      </c>
      <c r="M27" s="26">
        <v>803.80801173171835</v>
      </c>
      <c r="N27" s="26">
        <v>978.71282018313775</v>
      </c>
      <c r="O27" s="26">
        <v>1644.6476393415439</v>
      </c>
      <c r="P27" s="26">
        <v>3341.3358998231233</v>
      </c>
      <c r="Q27" s="26">
        <v>5274.3436837965737</v>
      </c>
      <c r="R27" s="26">
        <v>7509.5945901057157</v>
      </c>
      <c r="S27" s="27"/>
      <c r="T27" s="25" t="s">
        <v>12</v>
      </c>
      <c r="U27" s="81" t="s">
        <v>31</v>
      </c>
    </row>
    <row r="28" spans="1:21" ht="30.6" customHeight="1" x14ac:dyDescent="0.45">
      <c r="A28" s="82"/>
      <c r="B28" s="28" t="s">
        <v>14</v>
      </c>
      <c r="C28" s="17">
        <v>52.001849220527696</v>
      </c>
      <c r="D28" s="17">
        <v>61.306652558556124</v>
      </c>
      <c r="E28" s="17">
        <v>72.730586227129464</v>
      </c>
      <c r="F28" s="17">
        <v>86.299575220811917</v>
      </c>
      <c r="G28" s="17">
        <v>101.06602623304542</v>
      </c>
      <c r="H28" s="17">
        <v>119.07994763726894</v>
      </c>
      <c r="I28" s="17">
        <v>140.96243518501379</v>
      </c>
      <c r="J28" s="17">
        <v>170.09097622627573</v>
      </c>
      <c r="K28" s="17">
        <v>192.57298859454457</v>
      </c>
      <c r="L28" s="17">
        <v>231.28066091743412</v>
      </c>
      <c r="M28" s="17">
        <v>279.90777827593399</v>
      </c>
      <c r="N28" s="17">
        <v>318.64439426697083</v>
      </c>
      <c r="O28" s="17">
        <v>445.94202364409728</v>
      </c>
      <c r="P28" s="17">
        <v>824.52488741860031</v>
      </c>
      <c r="Q28" s="17">
        <v>1778.6693898974397</v>
      </c>
      <c r="R28" s="17">
        <v>3275.8726509628682</v>
      </c>
      <c r="S28" s="23"/>
      <c r="T28" s="28" t="s">
        <v>15</v>
      </c>
      <c r="U28" s="82"/>
    </row>
    <row r="29" spans="1:21" ht="30.6" customHeight="1" x14ac:dyDescent="0.45">
      <c r="A29" s="82"/>
      <c r="B29" s="28" t="s">
        <v>16</v>
      </c>
      <c r="C29" s="17">
        <v>0.71021727071421781</v>
      </c>
      <c r="D29" s="17">
        <v>1.0942290291583436</v>
      </c>
      <c r="E29" s="17">
        <v>0.95019978355042956</v>
      </c>
      <c r="F29" s="17">
        <v>1.413458373642301</v>
      </c>
      <c r="G29" s="17">
        <v>1.6877580298762962</v>
      </c>
      <c r="H29" s="17">
        <v>1.788520666513947</v>
      </c>
      <c r="I29" s="17">
        <v>3.0158127899360778</v>
      </c>
      <c r="J29" s="17">
        <v>3.4365091721297492</v>
      </c>
      <c r="K29" s="17">
        <v>3.4047142800027106</v>
      </c>
      <c r="L29" s="17">
        <v>3.1798610403257124</v>
      </c>
      <c r="M29" s="17">
        <v>5.1420148757403261</v>
      </c>
      <c r="N29" s="17">
        <v>7.5154253937946311</v>
      </c>
      <c r="O29" s="17">
        <v>7.0134276654825074</v>
      </c>
      <c r="P29" s="17">
        <v>6.9790939406242254</v>
      </c>
      <c r="Q29" s="17">
        <v>16.017639647319015</v>
      </c>
      <c r="R29" s="17">
        <v>24.577077338744385</v>
      </c>
      <c r="S29" s="23"/>
      <c r="T29" s="28" t="s">
        <v>17</v>
      </c>
      <c r="U29" s="82"/>
    </row>
    <row r="30" spans="1:21" ht="30.6" customHeight="1" x14ac:dyDescent="0.45">
      <c r="A30" s="82"/>
      <c r="B30" s="28" t="s">
        <v>18</v>
      </c>
      <c r="C30" s="17">
        <v>1.5939897561945706</v>
      </c>
      <c r="D30" s="17">
        <v>0.96566997310103131</v>
      </c>
      <c r="E30" s="17">
        <v>1.415549128301421</v>
      </c>
      <c r="F30" s="17">
        <v>8.4022385100785496E-2</v>
      </c>
      <c r="G30" s="17">
        <v>2.1976830376434324</v>
      </c>
      <c r="H30" s="17">
        <v>10.04045223032794</v>
      </c>
      <c r="I30" s="17">
        <v>10.383628052618135</v>
      </c>
      <c r="J30" s="17">
        <v>21.313201178134669</v>
      </c>
      <c r="K30" s="17">
        <v>30.521233378313951</v>
      </c>
      <c r="L30" s="17">
        <v>35.896498239748894</v>
      </c>
      <c r="M30" s="17">
        <v>38.592863830981628</v>
      </c>
      <c r="N30" s="17">
        <v>54.168998296400801</v>
      </c>
      <c r="O30" s="17">
        <v>77.590574686099586</v>
      </c>
      <c r="P30" s="17">
        <v>101.490150912812</v>
      </c>
      <c r="Q30" s="17">
        <v>188.96661065840851</v>
      </c>
      <c r="R30" s="17">
        <v>415.7792910854908</v>
      </c>
      <c r="S30" s="23"/>
      <c r="T30" s="28" t="s">
        <v>19</v>
      </c>
      <c r="U30" s="82"/>
    </row>
    <row r="31" spans="1:21" ht="30.6" customHeight="1" x14ac:dyDescent="0.45">
      <c r="A31" s="83"/>
      <c r="B31" s="29" t="s">
        <v>20</v>
      </c>
      <c r="C31" s="30">
        <v>103.06774313197393</v>
      </c>
      <c r="D31" s="30">
        <v>116.33427716030242</v>
      </c>
      <c r="E31" s="30">
        <v>161.47077556650427</v>
      </c>
      <c r="F31" s="30">
        <v>165.82851585180779</v>
      </c>
      <c r="G31" s="30">
        <v>199.86611513614409</v>
      </c>
      <c r="H31" s="30">
        <v>237.831319050844</v>
      </c>
      <c r="I31" s="30">
        <v>261.15689525114141</v>
      </c>
      <c r="J31" s="30">
        <v>290.62340936388085</v>
      </c>
      <c r="K31" s="30">
        <v>388.39884185401121</v>
      </c>
      <c r="L31" s="30">
        <v>521.22221819165588</v>
      </c>
      <c r="M31" s="30">
        <v>557.35108241102569</v>
      </c>
      <c r="N31" s="30">
        <v>706.72199881877316</v>
      </c>
      <c r="O31" s="30">
        <v>1269.2827627180636</v>
      </c>
      <c r="P31" s="30">
        <v>2611.3220693767107</v>
      </c>
      <c r="Q31" s="30">
        <v>3668.6232649102235</v>
      </c>
      <c r="R31" s="30">
        <v>4624.9241528895936</v>
      </c>
      <c r="S31" s="31"/>
      <c r="T31" s="29" t="s">
        <v>25</v>
      </c>
      <c r="U31" s="83"/>
    </row>
    <row r="32" spans="1:21" ht="30.6" customHeight="1" x14ac:dyDescent="0.45">
      <c r="A32" s="84" t="s">
        <v>32</v>
      </c>
      <c r="B32" s="25" t="s">
        <v>11</v>
      </c>
      <c r="C32" s="26">
        <v>14.5785551919314</v>
      </c>
      <c r="D32" s="26">
        <v>18.49084020141165</v>
      </c>
      <c r="E32" s="26">
        <v>18.426928257783032</v>
      </c>
      <c r="F32" s="26">
        <v>21.894232591251537</v>
      </c>
      <c r="G32" s="26">
        <v>26.162086048556276</v>
      </c>
      <c r="H32" s="26">
        <v>29.595408952285471</v>
      </c>
      <c r="I32" s="26">
        <v>31.279348963378553</v>
      </c>
      <c r="J32" s="26">
        <v>35.622588758924458</v>
      </c>
      <c r="K32" s="26">
        <v>39.581392586123997</v>
      </c>
      <c r="L32" s="26">
        <v>52.723165627487219</v>
      </c>
      <c r="M32" s="26">
        <v>73.765677678160301</v>
      </c>
      <c r="N32" s="26">
        <v>91.130164998889072</v>
      </c>
      <c r="O32" s="26">
        <v>122.43728772611446</v>
      </c>
      <c r="P32" s="26">
        <v>342.99442592985952</v>
      </c>
      <c r="Q32" s="26">
        <v>458.90644870356186</v>
      </c>
      <c r="R32" s="26">
        <v>563.68935559070644</v>
      </c>
      <c r="S32" s="27"/>
      <c r="T32" s="25" t="s">
        <v>12</v>
      </c>
      <c r="U32" s="84" t="s">
        <v>33</v>
      </c>
    </row>
    <row r="33" spans="1:21" ht="30.6" customHeight="1" x14ac:dyDescent="0.45">
      <c r="A33" s="85"/>
      <c r="B33" s="28" t="s">
        <v>14</v>
      </c>
      <c r="C33" s="17">
        <v>2.3534637890827663</v>
      </c>
      <c r="D33" s="17">
        <v>2.6814945852474441</v>
      </c>
      <c r="E33" s="17">
        <v>3.0962694973633242</v>
      </c>
      <c r="F33" s="17">
        <v>3.4553074395977248</v>
      </c>
      <c r="G33" s="17">
        <v>3.922884630726196</v>
      </c>
      <c r="H33" s="17">
        <v>4.5429413900529392</v>
      </c>
      <c r="I33" s="17">
        <v>5.4147705593353122</v>
      </c>
      <c r="J33" s="17">
        <v>6.3164754228901021</v>
      </c>
      <c r="K33" s="17">
        <v>7.8869188909700307</v>
      </c>
      <c r="L33" s="17">
        <v>8.9763574963995829</v>
      </c>
      <c r="M33" s="17">
        <v>10.868511646019071</v>
      </c>
      <c r="N33" s="17">
        <v>12.330830880293082</v>
      </c>
      <c r="O33" s="17">
        <v>15.666477273592374</v>
      </c>
      <c r="P33" s="17">
        <v>29.585583426442444</v>
      </c>
      <c r="Q33" s="17">
        <v>64.323511490480797</v>
      </c>
      <c r="R33" s="17">
        <v>120.93321549554726</v>
      </c>
      <c r="S33" s="23"/>
      <c r="T33" s="28" t="s">
        <v>15</v>
      </c>
      <c r="U33" s="85"/>
    </row>
    <row r="34" spans="1:21" ht="30.6" customHeight="1" x14ac:dyDescent="0.45">
      <c r="A34" s="85"/>
      <c r="B34" s="28" t="s">
        <v>16</v>
      </c>
      <c r="C34" s="17">
        <v>0.10831712765680905</v>
      </c>
      <c r="D34" s="17">
        <v>0.12665293699396707</v>
      </c>
      <c r="E34" s="17">
        <v>0.14298611162344052</v>
      </c>
      <c r="F34" s="17">
        <v>0.21069078306169853</v>
      </c>
      <c r="G34" s="17">
        <v>0.25295225362115342</v>
      </c>
      <c r="H34" s="17">
        <v>0.27860116898473319</v>
      </c>
      <c r="I34" s="17">
        <v>0.47220198033216132</v>
      </c>
      <c r="J34" s="17">
        <v>0.45929157559078665</v>
      </c>
      <c r="K34" s="17">
        <v>0.51894356688069687</v>
      </c>
      <c r="L34" s="17">
        <v>0.44939869439502234</v>
      </c>
      <c r="M34" s="17">
        <v>0.81934589166223815</v>
      </c>
      <c r="N34" s="17">
        <v>1.1818276312418865</v>
      </c>
      <c r="O34" s="17">
        <v>1.056975520747377</v>
      </c>
      <c r="P34" s="17">
        <v>1.1713982991062637</v>
      </c>
      <c r="Q34" s="17">
        <v>2.7420891976575636</v>
      </c>
      <c r="R34" s="17">
        <v>4.0163763308954721</v>
      </c>
      <c r="S34" s="23"/>
      <c r="T34" s="28" t="s">
        <v>17</v>
      </c>
      <c r="U34" s="85"/>
    </row>
    <row r="35" spans="1:21" ht="30.6" customHeight="1" x14ac:dyDescent="0.45">
      <c r="A35" s="85"/>
      <c r="B35" s="28" t="s">
        <v>18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96.368161967630002</v>
      </c>
      <c r="R35" s="17">
        <v>195.30044243191</v>
      </c>
      <c r="S35" s="23"/>
      <c r="T35" s="28" t="s">
        <v>19</v>
      </c>
      <c r="U35" s="85"/>
    </row>
    <row r="36" spans="1:21" ht="30.6" customHeight="1" x14ac:dyDescent="0.45">
      <c r="A36" s="86"/>
      <c r="B36" s="29" t="s">
        <v>20</v>
      </c>
      <c r="C36" s="30">
        <v>12.116774275191824</v>
      </c>
      <c r="D36" s="30">
        <v>15.682692679170238</v>
      </c>
      <c r="E36" s="30">
        <v>15.187672648796267</v>
      </c>
      <c r="F36" s="30">
        <v>18.228234368592112</v>
      </c>
      <c r="G36" s="30">
        <v>21.986249164208925</v>
      </c>
      <c r="H36" s="30">
        <v>24.773866393247797</v>
      </c>
      <c r="I36" s="30">
        <v>25.392376423711081</v>
      </c>
      <c r="J36" s="30">
        <v>28.846821760443564</v>
      </c>
      <c r="K36" s="30">
        <v>31.17553012827327</v>
      </c>
      <c r="L36" s="30">
        <v>43.297409436692618</v>
      </c>
      <c r="M36" s="30">
        <v>62.077820140478984</v>
      </c>
      <c r="N36" s="30">
        <v>77.617506487354106</v>
      </c>
      <c r="O36" s="30">
        <v>105.71383493177473</v>
      </c>
      <c r="P36" s="30">
        <v>312.23744420431086</v>
      </c>
      <c r="Q36" s="30">
        <v>488.20900998305342</v>
      </c>
      <c r="R36" s="30">
        <v>634.0402061961737</v>
      </c>
      <c r="S36" s="31"/>
      <c r="T36" s="29" t="s">
        <v>25</v>
      </c>
      <c r="U36" s="86"/>
    </row>
    <row r="37" spans="1:21" ht="30.6" customHeight="1" x14ac:dyDescent="0.45">
      <c r="A37" s="84" t="s">
        <v>34</v>
      </c>
      <c r="B37" s="25" t="s">
        <v>11</v>
      </c>
      <c r="C37" s="26">
        <v>7.2116609684473625</v>
      </c>
      <c r="D37" s="26">
        <v>8.5639206012901656</v>
      </c>
      <c r="E37" s="26">
        <v>11.851305178759562</v>
      </c>
      <c r="F37" s="26">
        <v>14.687612201809044</v>
      </c>
      <c r="G37" s="26">
        <v>16.210335758573695</v>
      </c>
      <c r="H37" s="26">
        <v>18.885914515644721</v>
      </c>
      <c r="I37" s="26">
        <v>21.163975114258616</v>
      </c>
      <c r="J37" s="26">
        <v>22.48390293897857</v>
      </c>
      <c r="K37" s="26">
        <v>28.503025984409206</v>
      </c>
      <c r="L37" s="26">
        <v>32.029894512966514</v>
      </c>
      <c r="M37" s="26">
        <v>32.143090857167351</v>
      </c>
      <c r="N37" s="26">
        <v>34.425312224167769</v>
      </c>
      <c r="O37" s="26">
        <v>58.66431157346689</v>
      </c>
      <c r="P37" s="26">
        <v>110.26205221131876</v>
      </c>
      <c r="Q37" s="26">
        <v>177.67230253053287</v>
      </c>
      <c r="R37" s="26">
        <v>298.90584530540519</v>
      </c>
      <c r="S37" s="27"/>
      <c r="T37" s="25" t="s">
        <v>12</v>
      </c>
      <c r="U37" s="84" t="s">
        <v>35</v>
      </c>
    </row>
    <row r="38" spans="1:21" ht="30.6" customHeight="1" x14ac:dyDescent="0.45">
      <c r="A38" s="85"/>
      <c r="B38" s="28" t="s">
        <v>14</v>
      </c>
      <c r="C38" s="17">
        <v>3.8156726096804223</v>
      </c>
      <c r="D38" s="17">
        <v>4.3583876523967984</v>
      </c>
      <c r="E38" s="17">
        <v>5.0062455824764944</v>
      </c>
      <c r="F38" s="17">
        <v>5.6180840561369907</v>
      </c>
      <c r="G38" s="17">
        <v>6.4186963241347437</v>
      </c>
      <c r="H38" s="17">
        <v>7.2238762040892661</v>
      </c>
      <c r="I38" s="17">
        <v>8.9733032439348719</v>
      </c>
      <c r="J38" s="17">
        <v>10.57538802460091</v>
      </c>
      <c r="K38" s="17">
        <v>11.636491628876669</v>
      </c>
      <c r="L38" s="17">
        <v>10.716106517750829</v>
      </c>
      <c r="M38" s="17">
        <v>11.500351621895827</v>
      </c>
      <c r="N38" s="17">
        <v>11.823094832458533</v>
      </c>
      <c r="O38" s="17">
        <v>14.818140829617224</v>
      </c>
      <c r="P38" s="17">
        <v>22.559887654468174</v>
      </c>
      <c r="Q38" s="17">
        <v>43.575939969445962</v>
      </c>
      <c r="R38" s="17">
        <v>86.117121074029882</v>
      </c>
      <c r="S38" s="23"/>
      <c r="T38" s="28" t="s">
        <v>15</v>
      </c>
      <c r="U38" s="85"/>
    </row>
    <row r="39" spans="1:21" ht="30.6" customHeight="1" x14ac:dyDescent="0.45">
      <c r="A39" s="85"/>
      <c r="B39" s="28" t="s">
        <v>16</v>
      </c>
      <c r="C39" s="17">
        <v>1.6562395208588914E-2</v>
      </c>
      <c r="D39" s="17">
        <v>2.7356187574833792E-2</v>
      </c>
      <c r="E39" s="17">
        <v>2.2451893483537082E-2</v>
      </c>
      <c r="F39" s="17">
        <v>3.2000388787844038E-2</v>
      </c>
      <c r="G39" s="17">
        <v>4.0491218216601496E-2</v>
      </c>
      <c r="H39" s="17">
        <v>3.8773446947303794E-2</v>
      </c>
      <c r="I39" s="17">
        <v>8.0271915369476463E-2</v>
      </c>
      <c r="J39" s="17">
        <v>8.629746965595482E-2</v>
      </c>
      <c r="K39" s="17">
        <v>7.732568629174752E-2</v>
      </c>
      <c r="L39" s="17">
        <v>9.0400279365528927E-2</v>
      </c>
      <c r="M39" s="17">
        <v>0.11169016638010174</v>
      </c>
      <c r="N39" s="17">
        <v>0.17699006272675666</v>
      </c>
      <c r="O39" s="17">
        <v>0.18145217233991287</v>
      </c>
      <c r="P39" s="17">
        <v>0.16779783849055468</v>
      </c>
      <c r="Q39" s="17">
        <v>0.37616729483820782</v>
      </c>
      <c r="R39" s="17">
        <v>0.57388946630049531</v>
      </c>
      <c r="S39" s="23"/>
      <c r="T39" s="28" t="s">
        <v>17</v>
      </c>
      <c r="U39" s="85"/>
    </row>
    <row r="40" spans="1:21" ht="30.6" customHeight="1" x14ac:dyDescent="0.45">
      <c r="A40" s="85"/>
      <c r="B40" s="28" t="s">
        <v>18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1.7642728781799968</v>
      </c>
      <c r="J40" s="17">
        <v>1.93955103726</v>
      </c>
      <c r="K40" s="17">
        <v>1.911427551999987E-2</v>
      </c>
      <c r="L40" s="17">
        <v>-8.3000016212463379E-10</v>
      </c>
      <c r="M40" s="17">
        <v>0.83651100021999991</v>
      </c>
      <c r="N40" s="17">
        <v>-1.9999980926513669E-11</v>
      </c>
      <c r="O40" s="17">
        <v>8.5999989509582523E-10</v>
      </c>
      <c r="P40" s="17">
        <v>0</v>
      </c>
      <c r="Q40" s="17">
        <v>0</v>
      </c>
      <c r="R40" s="17">
        <v>0</v>
      </c>
      <c r="S40" s="23"/>
      <c r="T40" s="28" t="s">
        <v>19</v>
      </c>
      <c r="U40" s="85"/>
    </row>
    <row r="41" spans="1:21" ht="30.6" customHeight="1" x14ac:dyDescent="0.45">
      <c r="A41" s="86"/>
      <c r="B41" s="29" t="s">
        <v>20</v>
      </c>
      <c r="C41" s="30">
        <v>3.3794259635583512</v>
      </c>
      <c r="D41" s="30">
        <v>4.178176761318535</v>
      </c>
      <c r="E41" s="30">
        <v>6.8226077027995293</v>
      </c>
      <c r="F41" s="30">
        <v>9.0375277568842094</v>
      </c>
      <c r="G41" s="30">
        <v>9.7511482162223491</v>
      </c>
      <c r="H41" s="30">
        <v>11.623264864608151</v>
      </c>
      <c r="I41" s="30">
        <v>13.874672833134266</v>
      </c>
      <c r="J41" s="30">
        <v>13.761768481981706</v>
      </c>
      <c r="K41" s="30">
        <v>16.808322944760789</v>
      </c>
      <c r="L41" s="30">
        <v>21.223387715020156</v>
      </c>
      <c r="M41" s="30">
        <v>21.367560069111423</v>
      </c>
      <c r="N41" s="30">
        <v>22.425227328962478</v>
      </c>
      <c r="O41" s="30">
        <v>43.66471857236975</v>
      </c>
      <c r="P41" s="30">
        <v>87.534366718360019</v>
      </c>
      <c r="Q41" s="30">
        <v>133.72019526624871</v>
      </c>
      <c r="R41" s="30">
        <v>212.21483476507484</v>
      </c>
      <c r="S41" s="31"/>
      <c r="T41" s="29" t="s">
        <v>25</v>
      </c>
      <c r="U41" s="86"/>
    </row>
    <row r="42" spans="1:21" ht="30.6" customHeight="1" x14ac:dyDescent="0.45">
      <c r="A42" s="81" t="s">
        <v>36</v>
      </c>
      <c r="B42" s="25" t="s">
        <v>11</v>
      </c>
      <c r="C42" s="26">
        <v>56.574751927545243</v>
      </c>
      <c r="D42" s="26">
        <v>70.693082509775692</v>
      </c>
      <c r="E42" s="26">
        <v>99.809400426780016</v>
      </c>
      <c r="F42" s="26">
        <v>116.99598669341142</v>
      </c>
      <c r="G42" s="26">
        <v>145.84444735553382</v>
      </c>
      <c r="H42" s="26">
        <v>165.00505654647228</v>
      </c>
      <c r="I42" s="26">
        <v>191.83259070477661</v>
      </c>
      <c r="J42" s="26">
        <v>223.09184802618844</v>
      </c>
      <c r="K42" s="26">
        <v>265.12467101710007</v>
      </c>
      <c r="L42" s="26">
        <v>268.86882753234892</v>
      </c>
      <c r="M42" s="26">
        <v>234.19462279431909</v>
      </c>
      <c r="N42" s="26">
        <v>266.44628902873808</v>
      </c>
      <c r="O42" s="26">
        <v>370.14443032725762</v>
      </c>
      <c r="P42" s="26">
        <v>738.18067067791094</v>
      </c>
      <c r="Q42" s="26">
        <v>1459.242181006234</v>
      </c>
      <c r="R42" s="26">
        <v>2595.7237900427949</v>
      </c>
      <c r="S42" s="27"/>
      <c r="T42" s="25" t="s">
        <v>12</v>
      </c>
      <c r="U42" s="81" t="s">
        <v>37</v>
      </c>
    </row>
    <row r="43" spans="1:21" ht="30.6" customHeight="1" x14ac:dyDescent="0.45">
      <c r="A43" s="82"/>
      <c r="B43" s="28" t="s">
        <v>14</v>
      </c>
      <c r="C43" s="17">
        <v>17.940367603245203</v>
      </c>
      <c r="D43" s="17">
        <v>22.034461504219653</v>
      </c>
      <c r="E43" s="17">
        <v>27.142651090930329</v>
      </c>
      <c r="F43" s="17">
        <v>30.910046759046626</v>
      </c>
      <c r="G43" s="17">
        <v>36.441050539460626</v>
      </c>
      <c r="H43" s="17">
        <v>41.803688021005527</v>
      </c>
      <c r="I43" s="17">
        <v>49.275414010106154</v>
      </c>
      <c r="J43" s="17">
        <v>63.262389078620721</v>
      </c>
      <c r="K43" s="17">
        <v>72.126719828609268</v>
      </c>
      <c r="L43" s="17">
        <v>80.951972993722777</v>
      </c>
      <c r="M43" s="17">
        <v>76.625884247999537</v>
      </c>
      <c r="N43" s="17">
        <v>80.88593700027765</v>
      </c>
      <c r="O43" s="17">
        <v>114.62108141405457</v>
      </c>
      <c r="P43" s="17">
        <v>200.62480547335204</v>
      </c>
      <c r="Q43" s="17">
        <v>476.76200739564069</v>
      </c>
      <c r="R43" s="17">
        <v>924.78107080942084</v>
      </c>
      <c r="S43" s="23"/>
      <c r="T43" s="28" t="s">
        <v>15</v>
      </c>
      <c r="U43" s="82"/>
    </row>
    <row r="44" spans="1:21" ht="30.6" customHeight="1" x14ac:dyDescent="0.45">
      <c r="A44" s="82"/>
      <c r="B44" s="28" t="s">
        <v>16</v>
      </c>
      <c r="C44" s="17">
        <v>0.61204384688227487</v>
      </c>
      <c r="D44" s="17">
        <v>1.0026494226069511</v>
      </c>
      <c r="E44" s="17">
        <v>0.96297964985141438</v>
      </c>
      <c r="F44" s="17">
        <v>1.3765073550184399</v>
      </c>
      <c r="G44" s="17">
        <v>1.7391057175177487</v>
      </c>
      <c r="H44" s="17">
        <v>1.8241748529978621</v>
      </c>
      <c r="I44" s="17">
        <v>1.7652624555567193</v>
      </c>
      <c r="J44" s="17">
        <v>1.9422092688293358</v>
      </c>
      <c r="K44" s="17">
        <v>3.0361359521152447</v>
      </c>
      <c r="L44" s="17">
        <v>2.0390832436271014</v>
      </c>
      <c r="M44" s="17">
        <v>2.4704891010946382</v>
      </c>
      <c r="N44" s="17">
        <v>3.5783991880855686</v>
      </c>
      <c r="O44" s="17">
        <v>4.0312824099381981</v>
      </c>
      <c r="P44" s="17">
        <v>4.7833204506621243</v>
      </c>
      <c r="Q44" s="17">
        <v>9.6743497778014458</v>
      </c>
      <c r="R44" s="17">
        <v>14.553529837629188</v>
      </c>
      <c r="S44" s="23"/>
      <c r="T44" s="28" t="s">
        <v>17</v>
      </c>
      <c r="U44" s="82"/>
    </row>
    <row r="45" spans="1:21" ht="30.6" customHeight="1" x14ac:dyDescent="0.45">
      <c r="A45" s="82"/>
      <c r="B45" s="28" t="s">
        <v>18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23"/>
      <c r="T45" s="28" t="s">
        <v>19</v>
      </c>
      <c r="U45" s="82"/>
    </row>
    <row r="46" spans="1:21" ht="30.6" customHeight="1" x14ac:dyDescent="0.45">
      <c r="A46" s="83"/>
      <c r="B46" s="29" t="s">
        <v>20</v>
      </c>
      <c r="C46" s="30">
        <v>38.022340477417757</v>
      </c>
      <c r="D46" s="30">
        <v>47.655971582949093</v>
      </c>
      <c r="E46" s="30">
        <v>71.703769685998282</v>
      </c>
      <c r="F46" s="30">
        <v>84.709432579346355</v>
      </c>
      <c r="G46" s="30">
        <v>107.66429109855542</v>
      </c>
      <c r="H46" s="30">
        <v>121.37719367246889</v>
      </c>
      <c r="I46" s="30">
        <v>140.79191423911374</v>
      </c>
      <c r="J46" s="30">
        <v>157.88724967873836</v>
      </c>
      <c r="K46" s="30">
        <v>189.96181523637557</v>
      </c>
      <c r="L46" s="30">
        <v>185.87777129499904</v>
      </c>
      <c r="M46" s="30">
        <v>155.09824944522492</v>
      </c>
      <c r="N46" s="30">
        <v>181.98195284037482</v>
      </c>
      <c r="O46" s="30">
        <v>251.49206650326488</v>
      </c>
      <c r="P46" s="30">
        <v>532.77254475389668</v>
      </c>
      <c r="Q46" s="30">
        <v>972.80582383279193</v>
      </c>
      <c r="R46" s="30">
        <v>1656.3891893957448</v>
      </c>
      <c r="S46" s="31"/>
      <c r="T46" s="29" t="s">
        <v>25</v>
      </c>
      <c r="U46" s="83"/>
    </row>
    <row r="47" spans="1:21" ht="30.6" customHeight="1" x14ac:dyDescent="0.45">
      <c r="A47" s="81" t="s">
        <v>38</v>
      </c>
      <c r="B47" s="25" t="s">
        <v>11</v>
      </c>
      <c r="C47" s="26">
        <v>108.93988649598593</v>
      </c>
      <c r="D47" s="26">
        <v>130.62941289078071</v>
      </c>
      <c r="E47" s="26">
        <v>164.79769977015386</v>
      </c>
      <c r="F47" s="26">
        <v>179.6890623550228</v>
      </c>
      <c r="G47" s="26">
        <v>205.81736938111834</v>
      </c>
      <c r="H47" s="26">
        <v>237.29364678044647</v>
      </c>
      <c r="I47" s="26">
        <v>270.78821134760943</v>
      </c>
      <c r="J47" s="26">
        <v>302.27682202610168</v>
      </c>
      <c r="K47" s="26">
        <v>372.27518019487945</v>
      </c>
      <c r="L47" s="26">
        <v>462.96252239280517</v>
      </c>
      <c r="M47" s="26">
        <v>537.61429470221697</v>
      </c>
      <c r="N47" s="26">
        <v>630.82584910813102</v>
      </c>
      <c r="O47" s="26">
        <v>948.72986280105647</v>
      </c>
      <c r="P47" s="26">
        <v>2042.604578704751</v>
      </c>
      <c r="Q47" s="26">
        <v>3680.4109471201191</v>
      </c>
      <c r="R47" s="26">
        <v>5785.55219587173</v>
      </c>
      <c r="S47" s="27"/>
      <c r="T47" s="25" t="s">
        <v>12</v>
      </c>
      <c r="U47" s="81" t="s">
        <v>39</v>
      </c>
    </row>
    <row r="48" spans="1:21" ht="30.6" customHeight="1" x14ac:dyDescent="0.45">
      <c r="A48" s="82"/>
      <c r="B48" s="28" t="s">
        <v>14</v>
      </c>
      <c r="C48" s="17">
        <v>32.968124024801064</v>
      </c>
      <c r="D48" s="17">
        <v>38.631682483904342</v>
      </c>
      <c r="E48" s="17">
        <v>46.611405999082656</v>
      </c>
      <c r="F48" s="17">
        <v>55.882493904440892</v>
      </c>
      <c r="G48" s="17">
        <v>65.442197323800087</v>
      </c>
      <c r="H48" s="17">
        <v>77.969652433390465</v>
      </c>
      <c r="I48" s="17">
        <v>92.935298976088148</v>
      </c>
      <c r="J48" s="17">
        <v>114.67142040492085</v>
      </c>
      <c r="K48" s="17">
        <v>129.67341854806568</v>
      </c>
      <c r="L48" s="17">
        <v>153.11915962030864</v>
      </c>
      <c r="M48" s="17">
        <v>181.97919078581663</v>
      </c>
      <c r="N48" s="17">
        <v>202.28716150527222</v>
      </c>
      <c r="O48" s="17">
        <v>274.02032637308173</v>
      </c>
      <c r="P48" s="17">
        <v>498.41783868973818</v>
      </c>
      <c r="Q48" s="17">
        <v>1070.3830364034893</v>
      </c>
      <c r="R48" s="17">
        <v>1967.7132143714516</v>
      </c>
      <c r="S48" s="23"/>
      <c r="T48" s="28" t="s">
        <v>15</v>
      </c>
      <c r="U48" s="82"/>
    </row>
    <row r="49" spans="1:21" ht="30.6" customHeight="1" x14ac:dyDescent="0.45">
      <c r="A49" s="82"/>
      <c r="B49" s="28" t="s">
        <v>16</v>
      </c>
      <c r="C49" s="17">
        <v>0.63602293374751817</v>
      </c>
      <c r="D49" s="17">
        <v>0.74758111551077655</v>
      </c>
      <c r="E49" s="17">
        <v>0.84076272828026755</v>
      </c>
      <c r="F49" s="17">
        <v>1.2307314849491944</v>
      </c>
      <c r="G49" s="17">
        <v>1.4333152653722641</v>
      </c>
      <c r="H49" s="17">
        <v>1.5565787433117486</v>
      </c>
      <c r="I49" s="17">
        <v>1.6360944035328107</v>
      </c>
      <c r="J49" s="17">
        <v>2.1826514375079689</v>
      </c>
      <c r="K49" s="17">
        <v>2.4864335580055119</v>
      </c>
      <c r="L49" s="17">
        <v>2.3052204518214863</v>
      </c>
      <c r="M49" s="17">
        <v>2.9702208228885443</v>
      </c>
      <c r="N49" s="17">
        <v>4.4193494203198682</v>
      </c>
      <c r="O49" s="17">
        <v>4.869069028564426</v>
      </c>
      <c r="P49" s="17">
        <v>5.4523721946828294</v>
      </c>
      <c r="Q49" s="17">
        <v>10.979741592369464</v>
      </c>
      <c r="R49" s="17">
        <v>17.740092258528541</v>
      </c>
      <c r="S49" s="23"/>
      <c r="T49" s="28" t="s">
        <v>17</v>
      </c>
      <c r="U49" s="82"/>
    </row>
    <row r="50" spans="1:21" ht="30.6" customHeight="1" x14ac:dyDescent="0.45">
      <c r="A50" s="82"/>
      <c r="B50" s="28" t="s">
        <v>18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23"/>
      <c r="T50" s="28" t="s">
        <v>19</v>
      </c>
      <c r="U50" s="82"/>
    </row>
    <row r="51" spans="1:21" ht="30.6" customHeight="1" x14ac:dyDescent="0.45">
      <c r="A51" s="83"/>
      <c r="B51" s="29" t="s">
        <v>20</v>
      </c>
      <c r="C51" s="30">
        <v>75.335739537437348</v>
      </c>
      <c r="D51" s="30">
        <v>91.250149291365602</v>
      </c>
      <c r="E51" s="30">
        <v>117.34553104279094</v>
      </c>
      <c r="F51" s="30">
        <v>122.57583696563269</v>
      </c>
      <c r="G51" s="30">
        <v>138.94185679194595</v>
      </c>
      <c r="H51" s="30">
        <v>157.76741560374424</v>
      </c>
      <c r="I51" s="30">
        <v>176.2168179679885</v>
      </c>
      <c r="J51" s="30">
        <v>185.42275018367292</v>
      </c>
      <c r="K51" s="30">
        <v>240.1153280888083</v>
      </c>
      <c r="L51" s="30">
        <v>307.53814232067504</v>
      </c>
      <c r="M51" s="30">
        <v>352.66488309351178</v>
      </c>
      <c r="N51" s="30">
        <v>424.11933818253897</v>
      </c>
      <c r="O51" s="30">
        <v>669.84046739941027</v>
      </c>
      <c r="P51" s="30">
        <v>1538.7343678203299</v>
      </c>
      <c r="Q51" s="30">
        <v>2599.0481691242603</v>
      </c>
      <c r="R51" s="30">
        <v>3800.0988892417499</v>
      </c>
      <c r="S51" s="31"/>
      <c r="T51" s="29" t="s">
        <v>25</v>
      </c>
      <c r="U51" s="83"/>
    </row>
    <row r="52" spans="1:21" ht="30.6" customHeight="1" x14ac:dyDescent="0.45">
      <c r="A52" s="81" t="s">
        <v>40</v>
      </c>
      <c r="B52" s="25" t="s">
        <v>11</v>
      </c>
      <c r="C52" s="26">
        <v>86.660334571940737</v>
      </c>
      <c r="D52" s="26">
        <v>91.126259690276456</v>
      </c>
      <c r="E52" s="26">
        <v>103.20034360373032</v>
      </c>
      <c r="F52" s="26">
        <v>127.40844016964236</v>
      </c>
      <c r="G52" s="26">
        <v>142.73885313995473</v>
      </c>
      <c r="H52" s="26">
        <v>161.39699224468268</v>
      </c>
      <c r="I52" s="26">
        <v>182.69404707752031</v>
      </c>
      <c r="J52" s="26">
        <v>196.98911825925182</v>
      </c>
      <c r="K52" s="26">
        <v>240.18793630265611</v>
      </c>
      <c r="L52" s="26">
        <v>301.85746246135147</v>
      </c>
      <c r="M52" s="26">
        <v>348.11414017688969</v>
      </c>
      <c r="N52" s="26">
        <v>375.27350967115547</v>
      </c>
      <c r="O52" s="26">
        <v>600.50003572434275</v>
      </c>
      <c r="P52" s="26">
        <v>1407.9332712086803</v>
      </c>
      <c r="Q52" s="26">
        <v>2364.1737690961108</v>
      </c>
      <c r="R52" s="26">
        <v>3656.6108011150136</v>
      </c>
      <c r="S52" s="27"/>
      <c r="T52" s="25" t="s">
        <v>12</v>
      </c>
      <c r="U52" s="81" t="s">
        <v>41</v>
      </c>
    </row>
    <row r="53" spans="1:21" ht="30.6" customHeight="1" x14ac:dyDescent="0.45">
      <c r="A53" s="82"/>
      <c r="B53" s="28" t="s">
        <v>14</v>
      </c>
      <c r="C53" s="17">
        <v>12.148569567497944</v>
      </c>
      <c r="D53" s="17">
        <v>14.239378955041115</v>
      </c>
      <c r="E53" s="17">
        <v>17.179893324380622</v>
      </c>
      <c r="F53" s="17">
        <v>20.588714727361666</v>
      </c>
      <c r="G53" s="17">
        <v>24.134642100647014</v>
      </c>
      <c r="H53" s="17">
        <v>28.729539996876774</v>
      </c>
      <c r="I53" s="17">
        <v>34.198498932228631</v>
      </c>
      <c r="J53" s="17">
        <v>42.416301878128266</v>
      </c>
      <c r="K53" s="17">
        <v>47.632669911160825</v>
      </c>
      <c r="L53" s="17">
        <v>56.764548816654163</v>
      </c>
      <c r="M53" s="17">
        <v>69.573908748099242</v>
      </c>
      <c r="N53" s="17">
        <v>70.25581366389963</v>
      </c>
      <c r="O53" s="17">
        <v>93.672298306145777</v>
      </c>
      <c r="P53" s="17">
        <v>187.46178759091595</v>
      </c>
      <c r="Q53" s="17">
        <v>400.81151619271094</v>
      </c>
      <c r="R53" s="17">
        <v>751.95139875800339</v>
      </c>
      <c r="S53" s="23"/>
      <c r="T53" s="28" t="s">
        <v>15</v>
      </c>
      <c r="U53" s="82"/>
    </row>
    <row r="54" spans="1:21" ht="30.6" customHeight="1" x14ac:dyDescent="0.45">
      <c r="A54" s="82"/>
      <c r="B54" s="28" t="s">
        <v>16</v>
      </c>
      <c r="C54" s="17">
        <v>0.54659850159042422</v>
      </c>
      <c r="D54" s="17">
        <v>0.64156124707466944</v>
      </c>
      <c r="E54" s="17">
        <v>0.70076652683989638</v>
      </c>
      <c r="F54" s="17">
        <v>1.0163512221457565</v>
      </c>
      <c r="G54" s="17">
        <v>1.174270600191301</v>
      </c>
      <c r="H54" s="17">
        <v>1.2294254994816403</v>
      </c>
      <c r="I54" s="17">
        <v>1.2783764395385624</v>
      </c>
      <c r="J54" s="17">
        <v>1.9120930743913058</v>
      </c>
      <c r="K54" s="17">
        <v>1.9774426451841962</v>
      </c>
      <c r="L54" s="17">
        <v>1.8048391286668808</v>
      </c>
      <c r="M54" s="17">
        <v>2.032293062205083</v>
      </c>
      <c r="N54" s="17">
        <v>3.4195653127474452</v>
      </c>
      <c r="O54" s="17">
        <v>3.6571299892923612</v>
      </c>
      <c r="P54" s="17">
        <v>3.8976081392172741</v>
      </c>
      <c r="Q54" s="17">
        <v>7.769624921427349</v>
      </c>
      <c r="R54" s="17">
        <v>13.034230435387659</v>
      </c>
      <c r="S54" s="23"/>
      <c r="T54" s="28" t="s">
        <v>17</v>
      </c>
      <c r="U54" s="82"/>
    </row>
    <row r="55" spans="1:21" ht="30.6" customHeight="1" x14ac:dyDescent="0.45">
      <c r="A55" s="82"/>
      <c r="B55" s="28" t="s">
        <v>18</v>
      </c>
      <c r="C55" s="17">
        <v>2.6721132887388319</v>
      </c>
      <c r="D55" s="17">
        <v>0.74713856831833769</v>
      </c>
      <c r="E55" s="17">
        <v>0.75151960766608383</v>
      </c>
      <c r="F55" s="17">
        <v>1.8314811575084808</v>
      </c>
      <c r="G55" s="17">
        <v>0.65746552573198314</v>
      </c>
      <c r="H55" s="17">
        <v>0.43444357601872569</v>
      </c>
      <c r="I55" s="17">
        <v>1.0472670124117924</v>
      </c>
      <c r="J55" s="17">
        <v>0.70730761371479756</v>
      </c>
      <c r="K55" s="17">
        <v>2.8315615355820363</v>
      </c>
      <c r="L55" s="17">
        <v>4.3583832605906654</v>
      </c>
      <c r="M55" s="17">
        <v>5.5241082101356325</v>
      </c>
      <c r="N55" s="17">
        <v>19.230218086363479</v>
      </c>
      <c r="O55" s="17">
        <v>29.597266608112694</v>
      </c>
      <c r="P55" s="17">
        <v>6.9694119393802172</v>
      </c>
      <c r="Q55" s="17">
        <v>97.691825221271884</v>
      </c>
      <c r="R55" s="17">
        <v>137.05765707248943</v>
      </c>
      <c r="S55" s="23"/>
      <c r="T55" s="28" t="s">
        <v>19</v>
      </c>
      <c r="U55" s="82"/>
    </row>
    <row r="56" spans="1:21" ht="30.6" customHeight="1" x14ac:dyDescent="0.45">
      <c r="A56" s="83"/>
      <c r="B56" s="29" t="s">
        <v>20</v>
      </c>
      <c r="C56" s="30">
        <v>76.637279791591197</v>
      </c>
      <c r="D56" s="30">
        <v>76.992458056479023</v>
      </c>
      <c r="E56" s="30">
        <v>86.071203360175886</v>
      </c>
      <c r="F56" s="30">
        <v>107.63485537764342</v>
      </c>
      <c r="G56" s="30">
        <v>118.08740596484839</v>
      </c>
      <c r="H56" s="30">
        <v>131.87247032434297</v>
      </c>
      <c r="I56" s="30">
        <v>148.26443871816491</v>
      </c>
      <c r="J56" s="30">
        <v>153.36803092044704</v>
      </c>
      <c r="K56" s="30">
        <v>193.40938528189312</v>
      </c>
      <c r="L56" s="30">
        <v>247.64645777662111</v>
      </c>
      <c r="M56" s="30">
        <v>282.03204657672103</v>
      </c>
      <c r="N56" s="30">
        <v>320.82834878087186</v>
      </c>
      <c r="O56" s="30">
        <v>532.76787403701724</v>
      </c>
      <c r="P56" s="30">
        <v>1223.5432874179271</v>
      </c>
      <c r="Q56" s="30">
        <v>2053.2844532032445</v>
      </c>
      <c r="R56" s="30">
        <v>3028.6828289941122</v>
      </c>
      <c r="S56" s="31"/>
      <c r="T56" s="29" t="s">
        <v>25</v>
      </c>
      <c r="U56" s="83"/>
    </row>
    <row r="57" spans="1:21" ht="30.6" customHeight="1" x14ac:dyDescent="0.45">
      <c r="A57" s="81" t="s">
        <v>42</v>
      </c>
      <c r="B57" s="25" t="s">
        <v>11</v>
      </c>
      <c r="C57" s="26">
        <v>23.058935334649114</v>
      </c>
      <c r="D57" s="26">
        <v>27.072214231606004</v>
      </c>
      <c r="E57" s="26">
        <v>36.288343493902971</v>
      </c>
      <c r="F57" s="26">
        <v>42.414918966962688</v>
      </c>
      <c r="G57" s="26">
        <v>50.502966495985866</v>
      </c>
      <c r="H57" s="26">
        <v>59.54407300840812</v>
      </c>
      <c r="I57" s="26">
        <v>66.690742997377683</v>
      </c>
      <c r="J57" s="26">
        <v>67.992923637710661</v>
      </c>
      <c r="K57" s="26">
        <v>84.372640611897282</v>
      </c>
      <c r="L57" s="26">
        <v>117.18074611680969</v>
      </c>
      <c r="M57" s="26">
        <v>146.48785648158142</v>
      </c>
      <c r="N57" s="26">
        <v>104.84119536867816</v>
      </c>
      <c r="O57" s="26">
        <v>191.65860745854985</v>
      </c>
      <c r="P57" s="26">
        <v>482.88247961052554</v>
      </c>
      <c r="Q57" s="26">
        <v>947.12957843054437</v>
      </c>
      <c r="R57" s="26">
        <v>1653.6292840516123</v>
      </c>
      <c r="S57" s="27"/>
      <c r="T57" s="25" t="s">
        <v>12</v>
      </c>
      <c r="U57" s="81" t="s">
        <v>43</v>
      </c>
    </row>
    <row r="58" spans="1:21" ht="30.6" customHeight="1" x14ac:dyDescent="0.45">
      <c r="A58" s="82"/>
      <c r="B58" s="28" t="s">
        <v>14</v>
      </c>
      <c r="C58" s="17">
        <v>10.425775082348382</v>
      </c>
      <c r="D58" s="17">
        <v>12.20570288273005</v>
      </c>
      <c r="E58" s="17">
        <v>14.692930305760289</v>
      </c>
      <c r="F58" s="17">
        <v>17.75951333590157</v>
      </c>
      <c r="G58" s="17">
        <v>20.610497007509569</v>
      </c>
      <c r="H58" s="17">
        <v>24.390276583394421</v>
      </c>
      <c r="I58" s="17">
        <v>30.259000133138567</v>
      </c>
      <c r="J58" s="17">
        <v>35.153048642688212</v>
      </c>
      <c r="K58" s="17">
        <v>39.652310288848646</v>
      </c>
      <c r="L58" s="17">
        <v>48.967023019533983</v>
      </c>
      <c r="M58" s="17">
        <v>61.450411246671429</v>
      </c>
      <c r="N58" s="17">
        <v>51.034045990455482</v>
      </c>
      <c r="O58" s="17">
        <v>72.519157072681622</v>
      </c>
      <c r="P58" s="17">
        <v>155.02088196710159</v>
      </c>
      <c r="Q58" s="17">
        <v>344.71640151631897</v>
      </c>
      <c r="R58" s="17">
        <v>662.96927556926119</v>
      </c>
      <c r="S58" s="23"/>
      <c r="T58" s="28" t="s">
        <v>15</v>
      </c>
      <c r="U58" s="82"/>
    </row>
    <row r="59" spans="1:21" ht="30.6" customHeight="1" x14ac:dyDescent="0.45">
      <c r="A59" s="82"/>
      <c r="B59" s="28" t="s">
        <v>16</v>
      </c>
      <c r="C59" s="17">
        <v>0.12472846920854748</v>
      </c>
      <c r="D59" s="17">
        <v>0.16537035907889111</v>
      </c>
      <c r="E59" s="17">
        <v>0.17521440289040355</v>
      </c>
      <c r="F59" s="17">
        <v>0.26251346806397824</v>
      </c>
      <c r="G59" s="17">
        <v>0.30215011428308181</v>
      </c>
      <c r="H59" s="17">
        <v>0.35150381873571901</v>
      </c>
      <c r="I59" s="17">
        <v>0.39871335664132407</v>
      </c>
      <c r="J59" s="17">
        <v>0.52964192670458676</v>
      </c>
      <c r="K59" s="17">
        <v>0.53743512154395223</v>
      </c>
      <c r="L59" s="17">
        <v>0.50829590951690573</v>
      </c>
      <c r="M59" s="17">
        <v>0.79075507868091777</v>
      </c>
      <c r="N59" s="17">
        <v>1.0237725116643186</v>
      </c>
      <c r="O59" s="17">
        <v>1.0931281916510616</v>
      </c>
      <c r="P59" s="17">
        <v>1.1956322447242129</v>
      </c>
      <c r="Q59" s="17">
        <v>2.4711466404059381</v>
      </c>
      <c r="R59" s="17">
        <v>3.8026719598600711</v>
      </c>
      <c r="S59" s="23"/>
      <c r="T59" s="28" t="s">
        <v>17</v>
      </c>
      <c r="U59" s="82"/>
    </row>
    <row r="60" spans="1:21" ht="30.6" customHeight="1" x14ac:dyDescent="0.45">
      <c r="A60" s="82"/>
      <c r="B60" s="28" t="s">
        <v>18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0.17564580560583185</v>
      </c>
      <c r="J60" s="17">
        <v>7.7503034926628703E-2</v>
      </c>
      <c r="K60" s="17">
        <v>0.63353461026701974</v>
      </c>
      <c r="L60" s="17">
        <v>1.2012731304703783</v>
      </c>
      <c r="M60" s="17">
        <v>1.5225743964855947</v>
      </c>
      <c r="N60" s="17">
        <v>5.300301258293481</v>
      </c>
      <c r="O60" s="17">
        <v>2.7021835662227791</v>
      </c>
      <c r="P60" s="17">
        <v>3.2553081972027014E-3</v>
      </c>
      <c r="Q60" s="17">
        <v>0.23008845191359772</v>
      </c>
      <c r="R60" s="17">
        <v>1.6080243163028843E-3</v>
      </c>
      <c r="S60" s="23"/>
      <c r="T60" s="28" t="s">
        <v>19</v>
      </c>
      <c r="U60" s="82"/>
    </row>
    <row r="61" spans="1:21" ht="30.6" customHeight="1" x14ac:dyDescent="0.45">
      <c r="A61" s="83"/>
      <c r="B61" s="29" t="s">
        <v>20</v>
      </c>
      <c r="C61" s="30">
        <v>12.508431783092183</v>
      </c>
      <c r="D61" s="30">
        <v>14.701140989797061</v>
      </c>
      <c r="E61" s="30">
        <v>21.420198785252285</v>
      </c>
      <c r="F61" s="30">
        <v>24.392892162997143</v>
      </c>
      <c r="G61" s="30">
        <v>29.590319374193218</v>
      </c>
      <c r="H61" s="30">
        <v>34.802292606277987</v>
      </c>
      <c r="I61" s="30">
        <v>36.208675313203621</v>
      </c>
      <c r="J61" s="30">
        <v>32.387736103244492</v>
      </c>
      <c r="K61" s="30">
        <v>44.816429811771698</v>
      </c>
      <c r="L61" s="30">
        <v>68.906700318229184</v>
      </c>
      <c r="M61" s="30">
        <v>85.76926455271466</v>
      </c>
      <c r="N61" s="30">
        <v>58.083678124851836</v>
      </c>
      <c r="O61" s="30">
        <v>120.74850576043995</v>
      </c>
      <c r="P61" s="30">
        <v>326.66922070689697</v>
      </c>
      <c r="Q61" s="30">
        <v>600.17211872573307</v>
      </c>
      <c r="R61" s="30">
        <v>986.85894454680738</v>
      </c>
      <c r="S61" s="31"/>
      <c r="T61" s="29" t="s">
        <v>25</v>
      </c>
      <c r="U61" s="83"/>
    </row>
    <row r="62" spans="1:21" ht="30.6" customHeight="1" x14ac:dyDescent="0.45">
      <c r="A62" s="81" t="s">
        <v>44</v>
      </c>
      <c r="B62" s="25" t="s">
        <v>11</v>
      </c>
      <c r="C62" s="26">
        <v>26.957036821110897</v>
      </c>
      <c r="D62" s="26">
        <v>28.175537582918817</v>
      </c>
      <c r="E62" s="26">
        <v>32.101842535278763</v>
      </c>
      <c r="F62" s="26">
        <v>37.771740125536027</v>
      </c>
      <c r="G62" s="26">
        <v>43.148381432765511</v>
      </c>
      <c r="H62" s="26">
        <v>49.208140758352137</v>
      </c>
      <c r="I62" s="26">
        <v>55.926662293785867</v>
      </c>
      <c r="J62" s="26">
        <v>61.733309286527238</v>
      </c>
      <c r="K62" s="26">
        <v>78.145418091523325</v>
      </c>
      <c r="L62" s="26">
        <v>93.014399250566157</v>
      </c>
      <c r="M62" s="26">
        <v>112.24154833206303</v>
      </c>
      <c r="N62" s="26">
        <v>138.50613206764328</v>
      </c>
      <c r="O62" s="26">
        <v>200.93425404481451</v>
      </c>
      <c r="P62" s="26">
        <v>346.02963972663014</v>
      </c>
      <c r="Q62" s="26">
        <v>638.48018023248994</v>
      </c>
      <c r="R62" s="26">
        <v>1111.3240467446735</v>
      </c>
      <c r="S62" s="27"/>
      <c r="T62" s="25" t="s">
        <v>12</v>
      </c>
      <c r="U62" s="81" t="s">
        <v>45</v>
      </c>
    </row>
    <row r="63" spans="1:21" ht="30.6" customHeight="1" x14ac:dyDescent="0.45">
      <c r="A63" s="82"/>
      <c r="B63" s="28" t="s">
        <v>14</v>
      </c>
      <c r="C63" s="17">
        <v>6.0748342138572102</v>
      </c>
      <c r="D63" s="17">
        <v>6.9425696991350119</v>
      </c>
      <c r="E63" s="17">
        <v>8.1616651128453164</v>
      </c>
      <c r="F63" s="17">
        <v>9.5640475719362641</v>
      </c>
      <c r="G63" s="17">
        <v>10.811316905959137</v>
      </c>
      <c r="H63" s="17">
        <v>12.525630032869088</v>
      </c>
      <c r="I63" s="17">
        <v>14.49190743830048</v>
      </c>
      <c r="J63" s="17">
        <v>17.431181233344653</v>
      </c>
      <c r="K63" s="17">
        <v>19.429941750148036</v>
      </c>
      <c r="L63" s="17">
        <v>22.792927293510001</v>
      </c>
      <c r="M63" s="17">
        <v>27.739920438199658</v>
      </c>
      <c r="N63" s="17">
        <v>31.702078282381379</v>
      </c>
      <c r="O63" s="17">
        <v>47.356905747144673</v>
      </c>
      <c r="P63" s="17">
        <v>91.842870339998129</v>
      </c>
      <c r="Q63" s="17">
        <v>203.81159985158661</v>
      </c>
      <c r="R63" s="17">
        <v>391.21310759994714</v>
      </c>
      <c r="S63" s="23"/>
      <c r="T63" s="28" t="s">
        <v>15</v>
      </c>
      <c r="U63" s="82"/>
    </row>
    <row r="64" spans="1:21" ht="30.6" customHeight="1" x14ac:dyDescent="0.45">
      <c r="A64" s="82"/>
      <c r="B64" s="28" t="s">
        <v>16</v>
      </c>
      <c r="C64" s="17">
        <v>0.35928689521729584</v>
      </c>
      <c r="D64" s="17">
        <v>0.27784016836384823</v>
      </c>
      <c r="E64" s="17">
        <v>0.37192539609544406</v>
      </c>
      <c r="F64" s="17">
        <v>0.5123516235442801</v>
      </c>
      <c r="G64" s="17">
        <v>0.6049474687803218</v>
      </c>
      <c r="H64" s="17">
        <v>0.69113453049852591</v>
      </c>
      <c r="I64" s="17">
        <v>0.63332187945981622</v>
      </c>
      <c r="J64" s="17">
        <v>0.50823852356846466</v>
      </c>
      <c r="K64" s="17">
        <v>0.82365234745430815</v>
      </c>
      <c r="L64" s="17">
        <v>0.73653207511906338</v>
      </c>
      <c r="M64" s="17">
        <v>1.2298505508766493</v>
      </c>
      <c r="N64" s="17">
        <v>1.8016394783744301</v>
      </c>
      <c r="O64" s="17">
        <v>2.3570002814291753</v>
      </c>
      <c r="P64" s="17">
        <v>3.7008904356944878</v>
      </c>
      <c r="Q64" s="17">
        <v>6.5706178634231476</v>
      </c>
      <c r="R64" s="17">
        <v>9.1141477994316666</v>
      </c>
      <c r="S64" s="23"/>
      <c r="T64" s="28" t="s">
        <v>17</v>
      </c>
      <c r="U64" s="82"/>
    </row>
    <row r="65" spans="1:21" ht="30.6" customHeight="1" x14ac:dyDescent="0.45">
      <c r="A65" s="82"/>
      <c r="B65" s="28" t="s">
        <v>18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0.65239017953999989</v>
      </c>
      <c r="P65" s="17">
        <v>1.17242037547</v>
      </c>
      <c r="Q65" s="17">
        <v>0.60794254471999998</v>
      </c>
      <c r="R65" s="17">
        <v>1.4081207379999998</v>
      </c>
      <c r="S65" s="23"/>
      <c r="T65" s="28" t="s">
        <v>19</v>
      </c>
      <c r="U65" s="82"/>
    </row>
    <row r="66" spans="1:21" ht="30.6" customHeight="1" x14ac:dyDescent="0.45">
      <c r="A66" s="83"/>
      <c r="B66" s="29" t="s">
        <v>20</v>
      </c>
      <c r="C66" s="30">
        <v>20.52291571203639</v>
      </c>
      <c r="D66" s="30">
        <v>20.955127715419959</v>
      </c>
      <c r="E66" s="30">
        <v>23.568252026338001</v>
      </c>
      <c r="F66" s="30">
        <v>27.69534093005548</v>
      </c>
      <c r="G66" s="30">
        <v>31.732117058026056</v>
      </c>
      <c r="H66" s="30">
        <v>35.991376194984525</v>
      </c>
      <c r="I66" s="30">
        <v>40.801432976025581</v>
      </c>
      <c r="J66" s="30">
        <v>43.79388952961412</v>
      </c>
      <c r="K66" s="30">
        <v>57.891823993920973</v>
      </c>
      <c r="L66" s="30">
        <v>69.48493988193708</v>
      </c>
      <c r="M66" s="30">
        <v>83.271777342986738</v>
      </c>
      <c r="N66" s="30">
        <v>105.00241430688746</v>
      </c>
      <c r="O66" s="30">
        <v>151.87273819578067</v>
      </c>
      <c r="P66" s="30">
        <v>251.65829932640756</v>
      </c>
      <c r="Q66" s="30">
        <v>428.7059050622002</v>
      </c>
      <c r="R66" s="30">
        <v>712.40491208329468</v>
      </c>
      <c r="S66" s="31"/>
      <c r="T66" s="29" t="s">
        <v>25</v>
      </c>
      <c r="U66" s="83"/>
    </row>
    <row r="67" spans="1:21" ht="30.6" customHeight="1" x14ac:dyDescent="0.45">
      <c r="A67" s="81" t="s">
        <v>46</v>
      </c>
      <c r="B67" s="25" t="s">
        <v>11</v>
      </c>
      <c r="C67" s="26">
        <v>38.571745780748692</v>
      </c>
      <c r="D67" s="26">
        <v>34.653467070096077</v>
      </c>
      <c r="E67" s="26">
        <v>38.454867222664937</v>
      </c>
      <c r="F67" s="26">
        <v>47.297283477777313</v>
      </c>
      <c r="G67" s="26">
        <v>57.360686196711114</v>
      </c>
      <c r="H67" s="26">
        <v>60.124624147212529</v>
      </c>
      <c r="I67" s="26">
        <v>69.518502475077256</v>
      </c>
      <c r="J67" s="26">
        <v>82.52405818752375</v>
      </c>
      <c r="K67" s="26">
        <v>98.975317360037124</v>
      </c>
      <c r="L67" s="26">
        <v>116.09520569120195</v>
      </c>
      <c r="M67" s="26">
        <v>138.66062956753933</v>
      </c>
      <c r="N67" s="26">
        <v>199.28655949973992</v>
      </c>
      <c r="O67" s="26">
        <v>219.56363537883487</v>
      </c>
      <c r="P67" s="26">
        <v>516.11358273174812</v>
      </c>
      <c r="Q67" s="26">
        <v>878.90475303034634</v>
      </c>
      <c r="R67" s="26">
        <v>1478.4379328065525</v>
      </c>
      <c r="S67" s="27"/>
      <c r="T67" s="25" t="s">
        <v>12</v>
      </c>
      <c r="U67" s="81" t="s">
        <v>47</v>
      </c>
    </row>
    <row r="68" spans="1:21" ht="30.6" customHeight="1" x14ac:dyDescent="0.45">
      <c r="A68" s="82"/>
      <c r="B68" s="28" t="s">
        <v>14</v>
      </c>
      <c r="C68" s="17">
        <v>12.101838457923133</v>
      </c>
      <c r="D68" s="17">
        <v>13.542231489561313</v>
      </c>
      <c r="E68" s="17">
        <v>15.148936876455394</v>
      </c>
      <c r="F68" s="17">
        <v>16.955947376643444</v>
      </c>
      <c r="G68" s="17">
        <v>19.709715708329128</v>
      </c>
      <c r="H68" s="17">
        <v>22.023356916599848</v>
      </c>
      <c r="I68" s="17">
        <v>25.63238879106531</v>
      </c>
      <c r="J68" s="17">
        <v>28.241385379352383</v>
      </c>
      <c r="K68" s="17">
        <v>30.802482356780146</v>
      </c>
      <c r="L68" s="17">
        <v>35.150542501228564</v>
      </c>
      <c r="M68" s="17">
        <v>42.9944833884012</v>
      </c>
      <c r="N68" s="17">
        <v>49.796328510729175</v>
      </c>
      <c r="O68" s="17">
        <v>60.99808626693968</v>
      </c>
      <c r="P68" s="17">
        <v>111.9705911493525</v>
      </c>
      <c r="Q68" s="17">
        <v>245.8289493454154</v>
      </c>
      <c r="R68" s="17">
        <v>470.28327804666134</v>
      </c>
      <c r="S68" s="23"/>
      <c r="T68" s="28" t="s">
        <v>15</v>
      </c>
      <c r="U68" s="82"/>
    </row>
    <row r="69" spans="1:21" ht="30.6" customHeight="1" x14ac:dyDescent="0.45">
      <c r="A69" s="82"/>
      <c r="B69" s="28" t="s">
        <v>16</v>
      </c>
      <c r="C69" s="17">
        <v>0.85574138663843236</v>
      </c>
      <c r="D69" s="17">
        <v>1.4239325459608225</v>
      </c>
      <c r="E69" s="17">
        <v>1.5921410687857902</v>
      </c>
      <c r="F69" s="17">
        <v>2.1175693653622933</v>
      </c>
      <c r="G69" s="17">
        <v>2.7367363347518299</v>
      </c>
      <c r="H69" s="17">
        <v>3.3181402964509483</v>
      </c>
      <c r="I69" s="17">
        <v>4.8483246891268736</v>
      </c>
      <c r="J69" s="17">
        <v>2.5686330984523429</v>
      </c>
      <c r="K69" s="17">
        <v>5.1252310831766046</v>
      </c>
      <c r="L69" s="17">
        <v>7.7424533716179393</v>
      </c>
      <c r="M69" s="17">
        <v>6.6275497600197761</v>
      </c>
      <c r="N69" s="17">
        <v>6.9137239041088145</v>
      </c>
      <c r="O69" s="17">
        <v>8.8511245772364777</v>
      </c>
      <c r="P69" s="17">
        <v>26.865804073266453</v>
      </c>
      <c r="Q69" s="17">
        <v>62.66504765538069</v>
      </c>
      <c r="R69" s="17">
        <v>92.659371877145986</v>
      </c>
      <c r="S69" s="23"/>
      <c r="T69" s="28" t="s">
        <v>17</v>
      </c>
      <c r="U69" s="82"/>
    </row>
    <row r="70" spans="1:21" ht="30.6" customHeight="1" x14ac:dyDescent="0.45">
      <c r="A70" s="82"/>
      <c r="B70" s="28" t="s">
        <v>18</v>
      </c>
      <c r="C70" s="17">
        <v>2.2658996449263693</v>
      </c>
      <c r="D70" s="17">
        <v>1.0955319881965595</v>
      </c>
      <c r="E70" s="17">
        <v>1.8384120801300319</v>
      </c>
      <c r="F70" s="17">
        <v>4.0319629257047218</v>
      </c>
      <c r="G70" s="17">
        <v>4.4658359179579881</v>
      </c>
      <c r="H70" s="17">
        <v>1.7698777599260682</v>
      </c>
      <c r="I70" s="17">
        <v>2.13479884271</v>
      </c>
      <c r="J70" s="17">
        <v>2.7767515230900002</v>
      </c>
      <c r="K70" s="17">
        <v>3.29960828272</v>
      </c>
      <c r="L70" s="17">
        <v>3.7896539036999997</v>
      </c>
      <c r="M70" s="17">
        <v>5.8771275542799994</v>
      </c>
      <c r="N70" s="17">
        <v>8.2679222090800017</v>
      </c>
      <c r="O70" s="17">
        <v>10.43701356253</v>
      </c>
      <c r="P70" s="17">
        <v>20.4317555097</v>
      </c>
      <c r="Q70" s="17">
        <v>37.145346208849986</v>
      </c>
      <c r="R70" s="17">
        <v>143.53481797809999</v>
      </c>
      <c r="S70" s="23"/>
      <c r="T70" s="28" t="s">
        <v>19</v>
      </c>
      <c r="U70" s="82"/>
    </row>
    <row r="71" spans="1:21" ht="30.6" customHeight="1" x14ac:dyDescent="0.45">
      <c r="A71" s="83"/>
      <c r="B71" s="29" t="s">
        <v>20</v>
      </c>
      <c r="C71" s="30">
        <v>27.880065581113499</v>
      </c>
      <c r="D71" s="30">
        <v>20.782835022770502</v>
      </c>
      <c r="E71" s="30">
        <v>23.552201357553784</v>
      </c>
      <c r="F71" s="30">
        <v>32.255729661476295</v>
      </c>
      <c r="G71" s="30">
        <v>39.380070071588143</v>
      </c>
      <c r="H71" s="30">
        <v>36.553004694087797</v>
      </c>
      <c r="I71" s="30">
        <v>41.172587837595081</v>
      </c>
      <c r="J71" s="30">
        <v>54.490791232809023</v>
      </c>
      <c r="K71" s="30">
        <v>66.347212202800364</v>
      </c>
      <c r="L71" s="30">
        <v>76.991863722055442</v>
      </c>
      <c r="M71" s="30">
        <v>94.915723973398343</v>
      </c>
      <c r="N71" s="30">
        <v>150.84442929398193</v>
      </c>
      <c r="O71" s="30">
        <v>160.15143809718873</v>
      </c>
      <c r="P71" s="30">
        <v>397.70894301882919</v>
      </c>
      <c r="Q71" s="30">
        <v>607.55610223840029</v>
      </c>
      <c r="R71" s="30">
        <v>1059.0301008608451</v>
      </c>
      <c r="S71" s="31"/>
      <c r="T71" s="29" t="s">
        <v>25</v>
      </c>
      <c r="U71" s="83"/>
    </row>
    <row r="72" spans="1:21" ht="30.6" customHeight="1" x14ac:dyDescent="0.45">
      <c r="A72" s="81" t="s">
        <v>48</v>
      </c>
      <c r="B72" s="25" t="s">
        <v>11</v>
      </c>
      <c r="C72" s="26">
        <v>113.41847389683366</v>
      </c>
      <c r="D72" s="26">
        <v>124.27004089628747</v>
      </c>
      <c r="E72" s="26">
        <v>135.18004020026947</v>
      </c>
      <c r="F72" s="26">
        <v>146.40708954891991</v>
      </c>
      <c r="G72" s="26">
        <v>157.48317969107518</v>
      </c>
      <c r="H72" s="26">
        <v>173.29427116834145</v>
      </c>
      <c r="I72" s="26">
        <v>191.12637212601174</v>
      </c>
      <c r="J72" s="26">
        <v>213.11271935425961</v>
      </c>
      <c r="K72" s="26">
        <v>248.45795497638525</v>
      </c>
      <c r="L72" s="26">
        <v>295.81256291073419</v>
      </c>
      <c r="M72" s="26">
        <v>345.4340438494836</v>
      </c>
      <c r="N72" s="26">
        <v>389.67852378625952</v>
      </c>
      <c r="O72" s="26">
        <v>500.53716265818196</v>
      </c>
      <c r="P72" s="26">
        <v>834.7587459399989</v>
      </c>
      <c r="Q72" s="26">
        <v>1540.9722959418441</v>
      </c>
      <c r="R72" s="26">
        <v>3404.0369175709516</v>
      </c>
      <c r="S72" s="27"/>
      <c r="T72" s="25" t="s">
        <v>12</v>
      </c>
      <c r="U72" s="81" t="s">
        <v>49</v>
      </c>
    </row>
    <row r="73" spans="1:21" ht="30.6" customHeight="1" x14ac:dyDescent="0.45">
      <c r="A73" s="82"/>
      <c r="B73" s="28" t="s">
        <v>14</v>
      </c>
      <c r="C73" s="17">
        <v>2.2557415081878474</v>
      </c>
      <c r="D73" s="17">
        <v>2.4932294102473032</v>
      </c>
      <c r="E73" s="17">
        <v>2.7153454135726007</v>
      </c>
      <c r="F73" s="17">
        <v>3.0766903863900121</v>
      </c>
      <c r="G73" s="17">
        <v>3.5860807603694083</v>
      </c>
      <c r="H73" s="17">
        <v>4.264169788748891</v>
      </c>
      <c r="I73" s="17">
        <v>4.9748604612558038</v>
      </c>
      <c r="J73" s="17">
        <v>6.5045500372870482</v>
      </c>
      <c r="K73" s="17">
        <v>7.2935129232558662</v>
      </c>
      <c r="L73" s="17">
        <v>9.2591291999982559</v>
      </c>
      <c r="M73" s="17">
        <v>11.440132995737702</v>
      </c>
      <c r="N73" s="17">
        <v>12.201075986168213</v>
      </c>
      <c r="O73" s="17">
        <v>16.716725065966671</v>
      </c>
      <c r="P73" s="17">
        <v>31.338947572568603</v>
      </c>
      <c r="Q73" s="17">
        <v>73.675126381568177</v>
      </c>
      <c r="R73" s="17">
        <v>142.72872792224445</v>
      </c>
      <c r="S73" s="23"/>
      <c r="T73" s="28" t="s">
        <v>15</v>
      </c>
      <c r="U73" s="82"/>
    </row>
    <row r="74" spans="1:21" ht="30.6" customHeight="1" x14ac:dyDescent="0.45">
      <c r="A74" s="82"/>
      <c r="B74" s="28" t="s">
        <v>16</v>
      </c>
      <c r="C74" s="17">
        <v>0.71570253668388617</v>
      </c>
      <c r="D74" s="17">
        <v>0.90206851511503083</v>
      </c>
      <c r="E74" s="17">
        <v>1.1434227871311609</v>
      </c>
      <c r="F74" s="17">
        <v>1.7171953015374342</v>
      </c>
      <c r="G74" s="17">
        <v>1.8617486413370046</v>
      </c>
      <c r="H74" s="17">
        <v>2.5236511253156571</v>
      </c>
      <c r="I74" s="17">
        <v>2.1490520631935697</v>
      </c>
      <c r="J74" s="17">
        <v>3.6268237749477032</v>
      </c>
      <c r="K74" s="17">
        <v>3.431535733090981</v>
      </c>
      <c r="L74" s="17">
        <v>3.4304211132370459</v>
      </c>
      <c r="M74" s="17">
        <v>5.8515026170010076</v>
      </c>
      <c r="N74" s="17">
        <v>6.0565678337517062</v>
      </c>
      <c r="O74" s="17">
        <v>7.092593103000846</v>
      </c>
      <c r="P74" s="17">
        <v>7.8669358247727379</v>
      </c>
      <c r="Q74" s="17">
        <v>14.129390958492094</v>
      </c>
      <c r="R74" s="17">
        <v>18.858686784190621</v>
      </c>
      <c r="S74" s="23"/>
      <c r="T74" s="28" t="s">
        <v>17</v>
      </c>
      <c r="U74" s="82"/>
    </row>
    <row r="75" spans="1:21" ht="30.6" customHeight="1" x14ac:dyDescent="0.45">
      <c r="A75" s="82"/>
      <c r="B75" s="28" t="s">
        <v>18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23"/>
      <c r="T75" s="28" t="s">
        <v>19</v>
      </c>
      <c r="U75" s="82"/>
    </row>
    <row r="76" spans="1:21" ht="30.6" customHeight="1" x14ac:dyDescent="0.45">
      <c r="A76" s="83"/>
      <c r="B76" s="29" t="s">
        <v>20</v>
      </c>
      <c r="C76" s="30">
        <v>110.44702985196193</v>
      </c>
      <c r="D76" s="30">
        <v>120.87474297092514</v>
      </c>
      <c r="E76" s="30">
        <v>131.32127199956571</v>
      </c>
      <c r="F76" s="30">
        <v>141.61320386099248</v>
      </c>
      <c r="G76" s="30">
        <v>152.03535028936875</v>
      </c>
      <c r="H76" s="30">
        <v>166.5064502542769</v>
      </c>
      <c r="I76" s="30">
        <v>184.00245960156238</v>
      </c>
      <c r="J76" s="30">
        <v>202.98134554202485</v>
      </c>
      <c r="K76" s="30">
        <v>237.73290632003844</v>
      </c>
      <c r="L76" s="30">
        <v>283.12301259749887</v>
      </c>
      <c r="M76" s="30">
        <v>328.14240823674493</v>
      </c>
      <c r="N76" s="30">
        <v>371.42087996633967</v>
      </c>
      <c r="O76" s="30">
        <v>476.72784448921448</v>
      </c>
      <c r="P76" s="30">
        <v>795.55286254265752</v>
      </c>
      <c r="Q76" s="30">
        <v>1453.1677786017838</v>
      </c>
      <c r="R76" s="30">
        <v>3242.449502864516</v>
      </c>
      <c r="S76" s="31"/>
      <c r="T76" s="29" t="s">
        <v>25</v>
      </c>
      <c r="U76" s="83"/>
    </row>
    <row r="77" spans="1:21" ht="30.6" customHeight="1" x14ac:dyDescent="0.45">
      <c r="A77" s="81" t="s">
        <v>50</v>
      </c>
      <c r="B77" s="25" t="s">
        <v>11</v>
      </c>
      <c r="C77" s="26">
        <v>21.664063929622955</v>
      </c>
      <c r="D77" s="26">
        <v>25.120280945351837</v>
      </c>
      <c r="E77" s="26">
        <v>29.039238053826796</v>
      </c>
      <c r="F77" s="26">
        <v>33.528139647256822</v>
      </c>
      <c r="G77" s="26">
        <v>38.480514840214909</v>
      </c>
      <c r="H77" s="26">
        <v>43.81989084080633</v>
      </c>
      <c r="I77" s="26">
        <v>53.949452232567154</v>
      </c>
      <c r="J77" s="26">
        <v>59.479223794893713</v>
      </c>
      <c r="K77" s="26">
        <v>73.350274346972682</v>
      </c>
      <c r="L77" s="26">
        <v>82.548034363153107</v>
      </c>
      <c r="M77" s="26">
        <v>99.040730586231888</v>
      </c>
      <c r="N77" s="26">
        <v>109.29144687297958</v>
      </c>
      <c r="O77" s="26">
        <v>154.92598466584428</v>
      </c>
      <c r="P77" s="26">
        <v>301.43311052625029</v>
      </c>
      <c r="Q77" s="26">
        <v>565.51952683935929</v>
      </c>
      <c r="R77" s="26">
        <v>951.31173168778957</v>
      </c>
      <c r="S77" s="27"/>
      <c r="T77" s="25" t="s">
        <v>12</v>
      </c>
      <c r="U77" s="81" t="s">
        <v>51</v>
      </c>
    </row>
    <row r="78" spans="1:21" ht="30.6" customHeight="1" x14ac:dyDescent="0.45">
      <c r="A78" s="82"/>
      <c r="B78" s="28" t="s">
        <v>14</v>
      </c>
      <c r="C78" s="17">
        <v>5.7904356483384616</v>
      </c>
      <c r="D78" s="17">
        <v>6.9553318915669831</v>
      </c>
      <c r="E78" s="17">
        <v>8.5600126909896392</v>
      </c>
      <c r="F78" s="17">
        <v>10.661271623588577</v>
      </c>
      <c r="G78" s="17">
        <v>12.731463127202332</v>
      </c>
      <c r="H78" s="17">
        <v>15.208192687895243</v>
      </c>
      <c r="I78" s="17">
        <v>19.059632020524848</v>
      </c>
      <c r="J78" s="17">
        <v>23.911414532735083</v>
      </c>
      <c r="K78" s="17">
        <v>27.284299961351781</v>
      </c>
      <c r="L78" s="17">
        <v>32.156988039884411</v>
      </c>
      <c r="M78" s="17">
        <v>36.457740029860965</v>
      </c>
      <c r="N78" s="17">
        <v>39.774819794752503</v>
      </c>
      <c r="O78" s="17">
        <v>55.383109482148917</v>
      </c>
      <c r="P78" s="17">
        <v>101.21188846049229</v>
      </c>
      <c r="Q78" s="17">
        <v>216.16589436061935</v>
      </c>
      <c r="R78" s="17">
        <v>395.95993491655679</v>
      </c>
      <c r="S78" s="23"/>
      <c r="T78" s="28" t="s">
        <v>15</v>
      </c>
      <c r="U78" s="82"/>
    </row>
    <row r="79" spans="1:21" ht="30.6" customHeight="1" x14ac:dyDescent="0.45">
      <c r="A79" s="82"/>
      <c r="B79" s="28" t="s">
        <v>16</v>
      </c>
      <c r="C79" s="17">
        <v>0.21885011343997246</v>
      </c>
      <c r="D79" s="17">
        <v>0.11722469600815574</v>
      </c>
      <c r="E79" s="17">
        <v>0.34494424550408759</v>
      </c>
      <c r="F79" s="17">
        <v>0.49372227660505136</v>
      </c>
      <c r="G79" s="17">
        <v>0.59356131267259205</v>
      </c>
      <c r="H79" s="17">
        <v>0.66129789227444424</v>
      </c>
      <c r="I79" s="17">
        <v>0.64497058320564238</v>
      </c>
      <c r="J79" s="17">
        <v>0.65450246828316405</v>
      </c>
      <c r="K79" s="17">
        <v>1.1052465052705687</v>
      </c>
      <c r="L79" s="17">
        <v>1.1555710554337311</v>
      </c>
      <c r="M79" s="17">
        <v>2.0214057479568575</v>
      </c>
      <c r="N79" s="17">
        <v>2.4377274795559445</v>
      </c>
      <c r="O79" s="17">
        <v>2.7495340398709018</v>
      </c>
      <c r="P79" s="17">
        <v>3.0612526938974289</v>
      </c>
      <c r="Q79" s="17">
        <v>7.3726318152152297</v>
      </c>
      <c r="R79" s="17">
        <v>11.805008438983904</v>
      </c>
      <c r="S79" s="23"/>
      <c r="T79" s="28" t="s">
        <v>17</v>
      </c>
      <c r="U79" s="82"/>
    </row>
    <row r="80" spans="1:21" ht="30.6" customHeight="1" x14ac:dyDescent="0.45">
      <c r="A80" s="82"/>
      <c r="B80" s="28" t="s">
        <v>18</v>
      </c>
      <c r="C80" s="17">
        <v>3.4388641923595062E-3</v>
      </c>
      <c r="D80" s="17">
        <v>1.0829379428227637E-2</v>
      </c>
      <c r="E80" s="17">
        <v>9.9927034412826393E-3</v>
      </c>
      <c r="F80" s="17">
        <v>1.2129276305749255E-2</v>
      </c>
      <c r="G80" s="17">
        <v>1.7946254706899409E-2</v>
      </c>
      <c r="H80" s="17">
        <v>9.1628157844954369E-3</v>
      </c>
      <c r="I80" s="17">
        <v>2.3805446531442724E-2</v>
      </c>
      <c r="J80" s="17">
        <v>2.0326615499734788E-2</v>
      </c>
      <c r="K80" s="17">
        <v>5.2367139712588787E-2</v>
      </c>
      <c r="L80" s="17">
        <v>7.5061205417677343E-2</v>
      </c>
      <c r="M80" s="17">
        <v>0.10416788414183159</v>
      </c>
      <c r="N80" s="17">
        <v>0.31732290417092962</v>
      </c>
      <c r="O80" s="17">
        <v>0.19702418602467217</v>
      </c>
      <c r="P80" s="17">
        <v>1.3129563530276979E-2</v>
      </c>
      <c r="Q80" s="17">
        <v>1.632904605512216E-2</v>
      </c>
      <c r="R80" s="17">
        <v>4.8447878953698327E-3</v>
      </c>
      <c r="S80" s="23"/>
      <c r="T80" s="28" t="s">
        <v>19</v>
      </c>
      <c r="U80" s="82"/>
    </row>
    <row r="81" spans="1:21" ht="30.6" customHeight="1" x14ac:dyDescent="0.45">
      <c r="A81" s="83"/>
      <c r="B81" s="29" t="s">
        <v>20</v>
      </c>
      <c r="C81" s="30">
        <v>15.658217032036882</v>
      </c>
      <c r="D81" s="30">
        <v>18.058553737204921</v>
      </c>
      <c r="E81" s="30">
        <v>20.144273820774352</v>
      </c>
      <c r="F81" s="30">
        <v>22.385275023368944</v>
      </c>
      <c r="G81" s="30">
        <v>25.173436655046885</v>
      </c>
      <c r="H81" s="30">
        <v>27.959563076421134</v>
      </c>
      <c r="I81" s="30">
        <v>34.268655075368109</v>
      </c>
      <c r="J81" s="30">
        <v>34.933633409375204</v>
      </c>
      <c r="K81" s="30">
        <v>45.01309502006292</v>
      </c>
      <c r="L81" s="30">
        <v>49.310536473252647</v>
      </c>
      <c r="M81" s="30">
        <v>60.665752692555898</v>
      </c>
      <c r="N81" s="30">
        <v>67.396222502842051</v>
      </c>
      <c r="O81" s="30">
        <v>96.990365329849141</v>
      </c>
      <c r="P81" s="30">
        <v>197.17309893539087</v>
      </c>
      <c r="Q81" s="30">
        <v>341.9973297095799</v>
      </c>
      <c r="R81" s="30">
        <v>543.55163312014429</v>
      </c>
      <c r="S81" s="31"/>
      <c r="T81" s="29" t="s">
        <v>25</v>
      </c>
      <c r="U81" s="83"/>
    </row>
    <row r="82" spans="1:21" ht="30.6" customHeight="1" x14ac:dyDescent="0.45">
      <c r="A82" s="81" t="s">
        <v>52</v>
      </c>
      <c r="B82" s="25" t="s">
        <v>11</v>
      </c>
      <c r="C82" s="26">
        <v>22.881216234426198</v>
      </c>
      <c r="D82" s="26">
        <v>24.532302098274211</v>
      </c>
      <c r="E82" s="26">
        <v>30.941982859001808</v>
      </c>
      <c r="F82" s="26">
        <v>36.869412539101518</v>
      </c>
      <c r="G82" s="26">
        <v>45.333145212883494</v>
      </c>
      <c r="H82" s="26">
        <v>54.215232248196493</v>
      </c>
      <c r="I82" s="26">
        <v>66.405055743456316</v>
      </c>
      <c r="J82" s="26">
        <v>78.23240167253104</v>
      </c>
      <c r="K82" s="26">
        <v>95.99017226612861</v>
      </c>
      <c r="L82" s="26">
        <v>111.98371652244927</v>
      </c>
      <c r="M82" s="26">
        <v>133.47645416226297</v>
      </c>
      <c r="N82" s="26">
        <v>128.57990338296813</v>
      </c>
      <c r="O82" s="26">
        <v>188.2417842156936</v>
      </c>
      <c r="P82" s="26">
        <v>388.97674887887763</v>
      </c>
      <c r="Q82" s="26">
        <v>788.33175111173023</v>
      </c>
      <c r="R82" s="26">
        <v>1444.3280940462187</v>
      </c>
      <c r="S82" s="27"/>
      <c r="T82" s="25" t="s">
        <v>12</v>
      </c>
      <c r="U82" s="81" t="s">
        <v>53</v>
      </c>
    </row>
    <row r="83" spans="1:21" ht="30.6" customHeight="1" x14ac:dyDescent="0.45">
      <c r="A83" s="82"/>
      <c r="B83" s="28" t="s">
        <v>14</v>
      </c>
      <c r="C83" s="17">
        <v>12.457662590730507</v>
      </c>
      <c r="D83" s="17">
        <v>14.984640804340451</v>
      </c>
      <c r="E83" s="17">
        <v>18.56966479267556</v>
      </c>
      <c r="F83" s="17">
        <v>22.746234381417349</v>
      </c>
      <c r="G83" s="17">
        <v>27.532051150048346</v>
      </c>
      <c r="H83" s="17">
        <v>33.656878294409623</v>
      </c>
      <c r="I83" s="17">
        <v>38.72210792249809</v>
      </c>
      <c r="J83" s="17">
        <v>53.901497515554333</v>
      </c>
      <c r="K83" s="17">
        <v>64.660972589554802</v>
      </c>
      <c r="L83" s="17">
        <v>58.780607430729262</v>
      </c>
      <c r="M83" s="17">
        <v>69.853977305642701</v>
      </c>
      <c r="N83" s="17">
        <v>79.301163639866047</v>
      </c>
      <c r="O83" s="17">
        <v>108.99246001852185</v>
      </c>
      <c r="P83" s="17">
        <v>193.95029310588427</v>
      </c>
      <c r="Q83" s="17">
        <v>438.9867304406863</v>
      </c>
      <c r="R83" s="17">
        <v>874.00717144727639</v>
      </c>
      <c r="S83" s="23"/>
      <c r="T83" s="28" t="s">
        <v>15</v>
      </c>
      <c r="U83" s="82"/>
    </row>
    <row r="84" spans="1:21" ht="30.6" customHeight="1" x14ac:dyDescent="0.45">
      <c r="A84" s="82"/>
      <c r="B84" s="28" t="s">
        <v>16</v>
      </c>
      <c r="C84" s="17">
        <v>0.14750590076988121</v>
      </c>
      <c r="D84" s="17">
        <v>0.16375840842957753</v>
      </c>
      <c r="E84" s="17">
        <v>0.16641760571815439</v>
      </c>
      <c r="F84" s="17">
        <v>0.23312241404590392</v>
      </c>
      <c r="G84" s="17">
        <v>0.27664720230313844</v>
      </c>
      <c r="H84" s="17">
        <v>0.28532883865078051</v>
      </c>
      <c r="I84" s="17">
        <v>0.31206010715797411</v>
      </c>
      <c r="J84" s="17">
        <v>0.43167014785048502</v>
      </c>
      <c r="K84" s="17">
        <v>0.4888310397467705</v>
      </c>
      <c r="L84" s="17">
        <v>0.44498647741606934</v>
      </c>
      <c r="M84" s="17">
        <v>0.5584575941489045</v>
      </c>
      <c r="N84" s="17">
        <v>0.85542511049726444</v>
      </c>
      <c r="O84" s="17">
        <v>0.92777411743848348</v>
      </c>
      <c r="P84" s="17">
        <v>1.0150614748159239</v>
      </c>
      <c r="Q84" s="17">
        <v>2.0869654878042971</v>
      </c>
      <c r="R84" s="17">
        <v>3.5135535589977396</v>
      </c>
      <c r="S84" s="23"/>
      <c r="T84" s="28" t="s">
        <v>17</v>
      </c>
      <c r="U84" s="82"/>
    </row>
    <row r="85" spans="1:21" ht="30.6" customHeight="1" x14ac:dyDescent="0.45">
      <c r="A85" s="82"/>
      <c r="B85" s="28" t="s">
        <v>18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23"/>
      <c r="T85" s="28" t="s">
        <v>19</v>
      </c>
      <c r="U85" s="82"/>
    </row>
    <row r="86" spans="1:21" ht="30.6" customHeight="1" x14ac:dyDescent="0.45">
      <c r="A86" s="83"/>
      <c r="B86" s="29" t="s">
        <v>20</v>
      </c>
      <c r="C86" s="30">
        <v>10.276047742925808</v>
      </c>
      <c r="D86" s="30">
        <v>9.3839028855041846</v>
      </c>
      <c r="E86" s="30">
        <v>12.205900460608095</v>
      </c>
      <c r="F86" s="30">
        <v>13.890055743638266</v>
      </c>
      <c r="G86" s="30">
        <v>17.524446860532013</v>
      </c>
      <c r="H86" s="30">
        <v>20.273025115136083</v>
      </c>
      <c r="I86" s="30">
        <v>27.370887713800251</v>
      </c>
      <c r="J86" s="30">
        <v>23.899234009126225</v>
      </c>
      <c r="K86" s="30">
        <v>30.840368636827044</v>
      </c>
      <c r="L86" s="30">
        <v>52.758122614303936</v>
      </c>
      <c r="M86" s="30">
        <v>63.064019262471362</v>
      </c>
      <c r="N86" s="30">
        <v>48.423314632604807</v>
      </c>
      <c r="O86" s="30">
        <v>78.321550079733257</v>
      </c>
      <c r="P86" s="30">
        <v>194.01139429817741</v>
      </c>
      <c r="Q86" s="30">
        <v>347.25805518323966</v>
      </c>
      <c r="R86" s="30">
        <v>566.80736903994455</v>
      </c>
      <c r="S86" s="31"/>
      <c r="T86" s="29" t="s">
        <v>25</v>
      </c>
      <c r="U86" s="83"/>
    </row>
    <row r="87" spans="1:21" ht="30.6" customHeight="1" x14ac:dyDescent="0.45">
      <c r="A87" s="84" t="s">
        <v>54</v>
      </c>
      <c r="B87" s="25" t="s">
        <v>11</v>
      </c>
      <c r="C87" s="26">
        <v>49.526791268360242</v>
      </c>
      <c r="D87" s="26">
        <v>55.708339355726892</v>
      </c>
      <c r="E87" s="26">
        <v>62.418894770788405</v>
      </c>
      <c r="F87" s="26">
        <v>73.177180436661402</v>
      </c>
      <c r="G87" s="26">
        <v>80.544616629350699</v>
      </c>
      <c r="H87" s="26">
        <v>91.657684710505293</v>
      </c>
      <c r="I87" s="26">
        <v>98.809737966167305</v>
      </c>
      <c r="J87" s="26">
        <v>113.90382660428293</v>
      </c>
      <c r="K87" s="26">
        <v>130.96074091366839</v>
      </c>
      <c r="L87" s="26">
        <v>175.02655312532096</v>
      </c>
      <c r="M87" s="26">
        <v>225.82314720329407</v>
      </c>
      <c r="N87" s="26">
        <v>267.3686687979266</v>
      </c>
      <c r="O87" s="26">
        <v>333.15605968570054</v>
      </c>
      <c r="P87" s="26">
        <v>589.35572773539559</v>
      </c>
      <c r="Q87" s="26">
        <v>1143.4212161089436</v>
      </c>
      <c r="R87" s="26">
        <v>2089.5728360430071</v>
      </c>
      <c r="S87" s="27"/>
      <c r="T87" s="25" t="s">
        <v>12</v>
      </c>
      <c r="U87" s="84" t="s">
        <v>55</v>
      </c>
    </row>
    <row r="88" spans="1:21" ht="30.6" customHeight="1" x14ac:dyDescent="0.45">
      <c r="A88" s="85"/>
      <c r="B88" s="28" t="s">
        <v>14</v>
      </c>
      <c r="C88" s="17">
        <v>35.361985948069638</v>
      </c>
      <c r="D88" s="17">
        <v>40.78832977174703</v>
      </c>
      <c r="E88" s="17">
        <v>47.148527438715945</v>
      </c>
      <c r="F88" s="17">
        <v>55.628927060503344</v>
      </c>
      <c r="G88" s="17">
        <v>62.111280348454564</v>
      </c>
      <c r="H88" s="17">
        <v>71.14294520092561</v>
      </c>
      <c r="I88" s="17">
        <v>81.516307306685704</v>
      </c>
      <c r="J88" s="17">
        <v>93.326256445006962</v>
      </c>
      <c r="K88" s="17">
        <v>103.59845100402273</v>
      </c>
      <c r="L88" s="17">
        <v>135.84675768044283</v>
      </c>
      <c r="M88" s="17">
        <v>176.90643441451925</v>
      </c>
      <c r="N88" s="17">
        <v>208.1529568077348</v>
      </c>
      <c r="O88" s="17">
        <v>252.61925188390424</v>
      </c>
      <c r="P88" s="17">
        <v>432.82884348881686</v>
      </c>
      <c r="Q88" s="17">
        <v>884.79319245542399</v>
      </c>
      <c r="R88" s="17">
        <v>1693.2460203154465</v>
      </c>
      <c r="S88" s="23"/>
      <c r="T88" s="28" t="s">
        <v>15</v>
      </c>
      <c r="U88" s="85"/>
    </row>
    <row r="89" spans="1:21" ht="30.6" customHeight="1" x14ac:dyDescent="0.45">
      <c r="A89" s="85"/>
      <c r="B89" s="28" t="s">
        <v>16</v>
      </c>
      <c r="C89" s="17">
        <v>1.2874982913740038</v>
      </c>
      <c r="D89" s="17">
        <v>0.98226083119545626</v>
      </c>
      <c r="E89" s="17">
        <v>0.66267827295204795</v>
      </c>
      <c r="F89" s="17">
        <v>0.75228124645762506</v>
      </c>
      <c r="G89" s="17">
        <v>0.8018802537243056</v>
      </c>
      <c r="H89" s="17">
        <v>0.88259976599098777</v>
      </c>
      <c r="I89" s="17">
        <v>0.91012158663169762</v>
      </c>
      <c r="J89" s="17">
        <v>1.1647775430553713</v>
      </c>
      <c r="K89" s="17">
        <v>0.14814909851607019</v>
      </c>
      <c r="L89" s="17">
        <v>2.2142841427975593</v>
      </c>
      <c r="M89" s="17">
        <v>0.91479222768740709</v>
      </c>
      <c r="N89" s="17">
        <v>0.83695774705029802</v>
      </c>
      <c r="O89" s="17">
        <v>2.7782125733978043</v>
      </c>
      <c r="P89" s="17">
        <v>1.7156437472426118</v>
      </c>
      <c r="Q89" s="17">
        <v>2.3839138407305041</v>
      </c>
      <c r="R89" s="17">
        <v>0.99307989295929811</v>
      </c>
      <c r="S89" s="23"/>
      <c r="T89" s="28" t="s">
        <v>17</v>
      </c>
      <c r="U89" s="85"/>
    </row>
    <row r="90" spans="1:21" ht="30.6" customHeight="1" x14ac:dyDescent="0.45">
      <c r="A90" s="85"/>
      <c r="B90" s="28" t="s">
        <v>18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23"/>
      <c r="T90" s="28" t="s">
        <v>19</v>
      </c>
      <c r="U90" s="85"/>
    </row>
    <row r="91" spans="1:21" ht="30.6" customHeight="1" x14ac:dyDescent="0.45">
      <c r="A91" s="86"/>
      <c r="B91" s="29" t="s">
        <v>20</v>
      </c>
      <c r="C91" s="30">
        <v>12.877307028916599</v>
      </c>
      <c r="D91" s="30">
        <v>13.937748752784403</v>
      </c>
      <c r="E91" s="30">
        <v>14.607689059120419</v>
      </c>
      <c r="F91" s="30">
        <v>16.795972129700441</v>
      </c>
      <c r="G91" s="30">
        <v>17.631456027171822</v>
      </c>
      <c r="H91" s="30">
        <v>19.632139743588702</v>
      </c>
      <c r="I91" s="30">
        <v>16.383309072849904</v>
      </c>
      <c r="J91" s="30">
        <v>19.412792616220592</v>
      </c>
      <c r="K91" s="30">
        <v>27.214140811129578</v>
      </c>
      <c r="L91" s="30">
        <v>36.965511302080571</v>
      </c>
      <c r="M91" s="30">
        <v>48.001920561087417</v>
      </c>
      <c r="N91" s="30">
        <v>58.378754243141515</v>
      </c>
      <c r="O91" s="30">
        <v>77.758595228398491</v>
      </c>
      <c r="P91" s="30">
        <v>154.81124049933609</v>
      </c>
      <c r="Q91" s="30">
        <v>256.24410981278902</v>
      </c>
      <c r="R91" s="30">
        <v>395.33373583460121</v>
      </c>
      <c r="S91" s="31"/>
      <c r="T91" s="29" t="s">
        <v>25</v>
      </c>
      <c r="U91" s="86"/>
    </row>
    <row r="92" spans="1:21" ht="30.6" customHeight="1" x14ac:dyDescent="0.45">
      <c r="A92" s="81" t="s">
        <v>56</v>
      </c>
      <c r="B92" s="25" t="s">
        <v>11</v>
      </c>
      <c r="C92" s="26">
        <v>39.42202266510143</v>
      </c>
      <c r="D92" s="26">
        <v>45.571137491855708</v>
      </c>
      <c r="E92" s="26">
        <v>53.488017423816352</v>
      </c>
      <c r="F92" s="26">
        <v>62.417276987485245</v>
      </c>
      <c r="G92" s="26">
        <v>71.916847869199216</v>
      </c>
      <c r="H92" s="26">
        <v>85.193692900723093</v>
      </c>
      <c r="I92" s="26">
        <v>96.909363685847893</v>
      </c>
      <c r="J92" s="26">
        <v>114.48592165264695</v>
      </c>
      <c r="K92" s="26">
        <v>128.93765666331265</v>
      </c>
      <c r="L92" s="26">
        <v>156.43996992832433</v>
      </c>
      <c r="M92" s="26">
        <v>193.38773619357434</v>
      </c>
      <c r="N92" s="26">
        <v>208.11190841695344</v>
      </c>
      <c r="O92" s="26">
        <v>256.86797791087054</v>
      </c>
      <c r="P92" s="26">
        <v>438.06471804474063</v>
      </c>
      <c r="Q92" s="26">
        <v>857.75673182992034</v>
      </c>
      <c r="R92" s="26">
        <v>1655.0183956300893</v>
      </c>
      <c r="S92" s="27"/>
      <c r="T92" s="25" t="s">
        <v>12</v>
      </c>
      <c r="U92" s="81" t="s">
        <v>57</v>
      </c>
    </row>
    <row r="93" spans="1:21" ht="30.6" customHeight="1" x14ac:dyDescent="0.45">
      <c r="A93" s="82"/>
      <c r="B93" s="28" t="s">
        <v>14</v>
      </c>
      <c r="C93" s="17">
        <v>31.520841304293722</v>
      </c>
      <c r="D93" s="17">
        <v>36.367932879305783</v>
      </c>
      <c r="E93" s="17">
        <v>42.068841010102396</v>
      </c>
      <c r="F93" s="17">
        <v>49.460422426812748</v>
      </c>
      <c r="G93" s="17">
        <v>55.39750807577866</v>
      </c>
      <c r="H93" s="17">
        <v>63.595631674637289</v>
      </c>
      <c r="I93" s="17">
        <v>71.657335225865225</v>
      </c>
      <c r="J93" s="17">
        <v>84.577597307174685</v>
      </c>
      <c r="K93" s="17">
        <v>93.269160364802175</v>
      </c>
      <c r="L93" s="17">
        <v>112.60135824395064</v>
      </c>
      <c r="M93" s="17">
        <v>137.93867357316407</v>
      </c>
      <c r="N93" s="17">
        <v>145.58899994689972</v>
      </c>
      <c r="O93" s="17">
        <v>177.53999548190703</v>
      </c>
      <c r="P93" s="17">
        <v>306.62347371042432</v>
      </c>
      <c r="Q93" s="17">
        <v>632.75939671995184</v>
      </c>
      <c r="R93" s="17">
        <v>1246.7223989427396</v>
      </c>
      <c r="S93" s="23"/>
      <c r="T93" s="28" t="s">
        <v>15</v>
      </c>
      <c r="U93" s="82"/>
    </row>
    <row r="94" spans="1:21" ht="30.6" customHeight="1" x14ac:dyDescent="0.45">
      <c r="A94" s="82"/>
      <c r="B94" s="28" t="s">
        <v>16</v>
      </c>
      <c r="C94" s="17">
        <v>1.7014948644015211E-2</v>
      </c>
      <c r="D94" s="17">
        <v>2.127139810432192E-2</v>
      </c>
      <c r="E94" s="17">
        <v>3.071765909917008E-2</v>
      </c>
      <c r="F94" s="17">
        <v>3.9011327005665349E-2</v>
      </c>
      <c r="G94" s="17">
        <v>4.6311676227116523E-2</v>
      </c>
      <c r="H94" s="17">
        <v>5.339285846607237E-2</v>
      </c>
      <c r="I94" s="17">
        <v>4.8257570626990327E-2</v>
      </c>
      <c r="J94" s="17">
        <v>7.1637103412844252E-2</v>
      </c>
      <c r="K94" s="17">
        <v>6.6601368455174087E-2</v>
      </c>
      <c r="L94" s="17">
        <v>8.8217684892184636E-2</v>
      </c>
      <c r="M94" s="17">
        <v>9.2191660964020899E-2</v>
      </c>
      <c r="N94" s="17">
        <v>0.11532349638345986</v>
      </c>
      <c r="O94" s="17">
        <v>0.16182058505228869</v>
      </c>
      <c r="P94" s="17">
        <v>0.17036388746288075</v>
      </c>
      <c r="Q94" s="17">
        <v>0.30471276142078563</v>
      </c>
      <c r="R94" s="17">
        <v>0.44883066954921075</v>
      </c>
      <c r="S94" s="23"/>
      <c r="T94" s="28" t="s">
        <v>17</v>
      </c>
      <c r="U94" s="82"/>
    </row>
    <row r="95" spans="1:21" ht="30.6" customHeight="1" x14ac:dyDescent="0.45">
      <c r="A95" s="82"/>
      <c r="B95" s="28" t="s">
        <v>18</v>
      </c>
      <c r="C95" s="17">
        <v>0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23"/>
      <c r="T95" s="28" t="s">
        <v>19</v>
      </c>
      <c r="U95" s="82"/>
    </row>
    <row r="96" spans="1:21" ht="30.6" customHeight="1" x14ac:dyDescent="0.45">
      <c r="A96" s="83"/>
      <c r="B96" s="29" t="s">
        <v>20</v>
      </c>
      <c r="C96" s="30">
        <v>7.8841664121636947</v>
      </c>
      <c r="D96" s="30">
        <v>9.1819332144456087</v>
      </c>
      <c r="E96" s="30">
        <v>11.388458754614783</v>
      </c>
      <c r="F96" s="30">
        <v>12.917843233666833</v>
      </c>
      <c r="G96" s="30">
        <v>16.473028117193437</v>
      </c>
      <c r="H96" s="30">
        <v>21.544668367619739</v>
      </c>
      <c r="I96" s="30">
        <v>25.203770889355674</v>
      </c>
      <c r="J96" s="30">
        <v>29.836687242059416</v>
      </c>
      <c r="K96" s="30">
        <v>35.601894930055302</v>
      </c>
      <c r="L96" s="30">
        <v>43.750393999481524</v>
      </c>
      <c r="M96" s="30">
        <v>55.35687095944624</v>
      </c>
      <c r="N96" s="30">
        <v>62.407584973670275</v>
      </c>
      <c r="O96" s="30">
        <v>79.166161843911198</v>
      </c>
      <c r="P96" s="30">
        <v>131.27088044685343</v>
      </c>
      <c r="Q96" s="30">
        <v>224.69262234854764</v>
      </c>
      <c r="R96" s="30">
        <v>407.84716601780059</v>
      </c>
      <c r="S96" s="31"/>
      <c r="T96" s="29" t="s">
        <v>25</v>
      </c>
      <c r="U96" s="83"/>
    </row>
    <row r="97" spans="1:21" ht="30.6" customHeight="1" x14ac:dyDescent="0.45">
      <c r="A97" s="81" t="s">
        <v>58</v>
      </c>
      <c r="B97" s="25" t="s">
        <v>11</v>
      </c>
      <c r="C97" s="26">
        <v>29.536546611130188</v>
      </c>
      <c r="D97" s="26">
        <v>32.684986596715383</v>
      </c>
      <c r="E97" s="26">
        <v>37.644455370453201</v>
      </c>
      <c r="F97" s="26">
        <v>41.585267579797794</v>
      </c>
      <c r="G97" s="26">
        <v>47.08972861528806</v>
      </c>
      <c r="H97" s="26">
        <v>52.086549407752976</v>
      </c>
      <c r="I97" s="26">
        <v>57.368217722643195</v>
      </c>
      <c r="J97" s="26">
        <v>68.321245110018879</v>
      </c>
      <c r="K97" s="26">
        <v>75.495914414296621</v>
      </c>
      <c r="L97" s="26">
        <v>92.683044268148336</v>
      </c>
      <c r="M97" s="26">
        <v>114.02200087585832</v>
      </c>
      <c r="N97" s="26">
        <v>143.86409676503024</v>
      </c>
      <c r="O97" s="26">
        <v>192.36251577948437</v>
      </c>
      <c r="P97" s="26">
        <v>343.58791479827312</v>
      </c>
      <c r="Q97" s="26">
        <v>730.35843232841603</v>
      </c>
      <c r="R97" s="26">
        <v>1431.1961241016625</v>
      </c>
      <c r="S97" s="27"/>
      <c r="T97" s="25" t="s">
        <v>12</v>
      </c>
      <c r="U97" s="81" t="s">
        <v>59</v>
      </c>
    </row>
    <row r="98" spans="1:21" ht="30.6" customHeight="1" x14ac:dyDescent="0.45">
      <c r="A98" s="82"/>
      <c r="B98" s="28" t="s">
        <v>14</v>
      </c>
      <c r="C98" s="17">
        <v>18.500037431444817</v>
      </c>
      <c r="D98" s="17">
        <v>21.348831256494385</v>
      </c>
      <c r="E98" s="17">
        <v>24.668927333257713</v>
      </c>
      <c r="F98" s="17">
        <v>29.005076395960835</v>
      </c>
      <c r="G98" s="17">
        <v>32.494547700715664</v>
      </c>
      <c r="H98" s="17">
        <v>37.23687262369905</v>
      </c>
      <c r="I98" s="17">
        <v>42.088051866993148</v>
      </c>
      <c r="J98" s="17">
        <v>50.006336689653949</v>
      </c>
      <c r="K98" s="17">
        <v>53.389471730588845</v>
      </c>
      <c r="L98" s="17">
        <v>64.72181208491989</v>
      </c>
      <c r="M98" s="17">
        <v>80.224581172438022</v>
      </c>
      <c r="N98" s="17">
        <v>102.28539528485705</v>
      </c>
      <c r="O98" s="17">
        <v>125.33247777577749</v>
      </c>
      <c r="P98" s="17">
        <v>230.00891844805722</v>
      </c>
      <c r="Q98" s="17">
        <v>534.44352212565695</v>
      </c>
      <c r="R98" s="17">
        <v>1029.7550239252762</v>
      </c>
      <c r="S98" s="23"/>
      <c r="T98" s="28" t="s">
        <v>15</v>
      </c>
      <c r="U98" s="82"/>
    </row>
    <row r="99" spans="1:21" ht="30.6" customHeight="1" x14ac:dyDescent="0.45">
      <c r="A99" s="82"/>
      <c r="B99" s="28" t="s">
        <v>16</v>
      </c>
      <c r="C99" s="17">
        <v>1.2832286708694463</v>
      </c>
      <c r="D99" s="17">
        <v>1.3491136401020452</v>
      </c>
      <c r="E99" s="17">
        <v>1.9790101564846012</v>
      </c>
      <c r="F99" s="17">
        <v>0.15923156102479114</v>
      </c>
      <c r="G99" s="17">
        <v>0.16567871761608619</v>
      </c>
      <c r="H99" s="17">
        <v>0.17411473534228633</v>
      </c>
      <c r="I99" s="17">
        <v>0.15413178037077885</v>
      </c>
      <c r="J99" s="17">
        <v>0.18572774239331583</v>
      </c>
      <c r="K99" s="17">
        <v>0.27272375774011282</v>
      </c>
      <c r="L99" s="17">
        <v>0.28791187279564012</v>
      </c>
      <c r="M99" s="17">
        <v>0.2860093461002679</v>
      </c>
      <c r="N99" s="17">
        <v>0.41646562527823505</v>
      </c>
      <c r="O99" s="17">
        <v>0.59950745228526769</v>
      </c>
      <c r="P99" s="17">
        <v>0.73238468265511558</v>
      </c>
      <c r="Q99" s="17">
        <v>1.2773712815442371</v>
      </c>
      <c r="R99" s="17">
        <v>2.2287380779210086</v>
      </c>
      <c r="S99" s="23"/>
      <c r="T99" s="28" t="s">
        <v>17</v>
      </c>
      <c r="U99" s="82"/>
    </row>
    <row r="100" spans="1:21" ht="30.6" customHeight="1" x14ac:dyDescent="0.45">
      <c r="A100" s="82"/>
      <c r="B100" s="28" t="s">
        <v>18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23"/>
      <c r="T100" s="28" t="s">
        <v>19</v>
      </c>
      <c r="U100" s="82"/>
    </row>
    <row r="101" spans="1:21" ht="30.6" customHeight="1" x14ac:dyDescent="0.45">
      <c r="A101" s="83"/>
      <c r="B101" s="29" t="s">
        <v>20</v>
      </c>
      <c r="C101" s="30">
        <v>9.7532805088159265</v>
      </c>
      <c r="D101" s="30">
        <v>9.9870417001189526</v>
      </c>
      <c r="E101" s="30">
        <v>10.996517880710886</v>
      </c>
      <c r="F101" s="30">
        <v>12.420959622812173</v>
      </c>
      <c r="G101" s="30">
        <v>14.429502196956308</v>
      </c>
      <c r="H101" s="30">
        <v>14.675562048711642</v>
      </c>
      <c r="I101" s="30">
        <v>15.126034075279273</v>
      </c>
      <c r="J101" s="30">
        <v>18.129180677971615</v>
      </c>
      <c r="K101" s="30">
        <v>21.833718925967666</v>
      </c>
      <c r="L101" s="30">
        <v>27.6733203104328</v>
      </c>
      <c r="M101" s="30">
        <v>33.511410357320031</v>
      </c>
      <c r="N101" s="30">
        <v>41.162235854894952</v>
      </c>
      <c r="O101" s="30">
        <v>66.430530551421612</v>
      </c>
      <c r="P101" s="30">
        <v>112.84661166756084</v>
      </c>
      <c r="Q101" s="30">
        <v>194.6375389212148</v>
      </c>
      <c r="R101" s="30">
        <v>399.21236209846518</v>
      </c>
      <c r="S101" s="31"/>
      <c r="T101" s="29" t="s">
        <v>25</v>
      </c>
      <c r="U101" s="83"/>
    </row>
    <row r="102" spans="1:21" ht="30.6" customHeight="1" x14ac:dyDescent="0.45">
      <c r="A102" s="81" t="s">
        <v>60</v>
      </c>
      <c r="B102" s="25" t="s">
        <v>11</v>
      </c>
      <c r="C102" s="26">
        <v>8.3736436490688426</v>
      </c>
      <c r="D102" s="26">
        <v>9.6275295254974367</v>
      </c>
      <c r="E102" s="26">
        <v>11.346553915321955</v>
      </c>
      <c r="F102" s="26">
        <v>13.113663861387309</v>
      </c>
      <c r="G102" s="26">
        <v>16.690120858885695</v>
      </c>
      <c r="H102" s="26">
        <v>19.062429946363661</v>
      </c>
      <c r="I102" s="26">
        <v>21.406916435323009</v>
      </c>
      <c r="J102" s="26">
        <v>23.773112875421898</v>
      </c>
      <c r="K102" s="26">
        <v>27.359460190190362</v>
      </c>
      <c r="L102" s="26">
        <v>33.21423345496909</v>
      </c>
      <c r="M102" s="26">
        <v>47.851208351516036</v>
      </c>
      <c r="N102" s="26">
        <v>64.050906455071541</v>
      </c>
      <c r="O102" s="26">
        <v>102.97252288385448</v>
      </c>
      <c r="P102" s="26">
        <v>186.6963283893993</v>
      </c>
      <c r="Q102" s="26">
        <v>370.17887914190044</v>
      </c>
      <c r="R102" s="26">
        <v>618.03125233030903</v>
      </c>
      <c r="S102" s="27"/>
      <c r="T102" s="25" t="s">
        <v>12</v>
      </c>
      <c r="U102" s="81" t="s">
        <v>61</v>
      </c>
    </row>
    <row r="103" spans="1:21" ht="30.6" customHeight="1" x14ac:dyDescent="0.45">
      <c r="A103" s="82"/>
      <c r="B103" s="28" t="s">
        <v>14</v>
      </c>
      <c r="C103" s="17">
        <v>2.3852251241653044</v>
      </c>
      <c r="D103" s="17">
        <v>2.8119621120768552</v>
      </c>
      <c r="E103" s="17">
        <v>3.3741504355304008</v>
      </c>
      <c r="F103" s="17">
        <v>3.9715345685624088</v>
      </c>
      <c r="G103" s="17">
        <v>4.6594162112483808</v>
      </c>
      <c r="H103" s="17">
        <v>5.4440747359701138</v>
      </c>
      <c r="I103" s="17">
        <v>6.2323733147386573</v>
      </c>
      <c r="J103" s="17">
        <v>7.3190991074292331</v>
      </c>
      <c r="K103" s="17">
        <v>8.3610845288254207</v>
      </c>
      <c r="L103" s="17">
        <v>10.832055255828861</v>
      </c>
      <c r="M103" s="17">
        <v>13.120539015905969</v>
      </c>
      <c r="N103" s="17">
        <v>13.063870652159933</v>
      </c>
      <c r="O103" s="17">
        <v>17.13345493735622</v>
      </c>
      <c r="P103" s="17">
        <v>30.049507821786577</v>
      </c>
      <c r="Q103" s="17">
        <v>60.280835312880427</v>
      </c>
      <c r="R103" s="17">
        <v>114.43687800266079</v>
      </c>
      <c r="S103" s="23"/>
      <c r="T103" s="28" t="s">
        <v>15</v>
      </c>
      <c r="U103" s="82"/>
    </row>
    <row r="104" spans="1:21" ht="30.6" customHeight="1" x14ac:dyDescent="0.45">
      <c r="A104" s="82"/>
      <c r="B104" s="28" t="s">
        <v>16</v>
      </c>
      <c r="C104" s="17">
        <v>1.0219462267425117E-2</v>
      </c>
      <c r="D104" s="17">
        <v>1.0402062535967984E-2</v>
      </c>
      <c r="E104" s="17">
        <v>1.2086969616093311E-2</v>
      </c>
      <c r="F104" s="17">
        <v>1.7912883814829739E-2</v>
      </c>
      <c r="G104" s="17">
        <v>2.1705517072881948E-2</v>
      </c>
      <c r="H104" s="17">
        <v>2.5391921457028902E-2</v>
      </c>
      <c r="I104" s="17">
        <v>2.1810016340630508E-2</v>
      </c>
      <c r="J104" s="17">
        <v>2.8486918000617475E-2</v>
      </c>
      <c r="K104" s="17">
        <v>3.3688272266494138E-2</v>
      </c>
      <c r="L104" s="17">
        <v>3.9108694571336665E-2</v>
      </c>
      <c r="M104" s="17">
        <v>3.9616460091106608E-2</v>
      </c>
      <c r="N104" s="17">
        <v>5.4932582496527924E-2</v>
      </c>
      <c r="O104" s="17">
        <v>7.7247515832853164E-2</v>
      </c>
      <c r="P104" s="17">
        <v>8.9486302856231201E-2</v>
      </c>
      <c r="Q104" s="17">
        <v>0.16652954896034505</v>
      </c>
      <c r="R104" s="17">
        <v>0.27883397392602977</v>
      </c>
      <c r="S104" s="23"/>
      <c r="T104" s="28" t="s">
        <v>17</v>
      </c>
      <c r="U104" s="82"/>
    </row>
    <row r="105" spans="1:21" ht="30.6" customHeight="1" x14ac:dyDescent="0.45">
      <c r="A105" s="82"/>
      <c r="B105" s="28" t="s">
        <v>18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23"/>
      <c r="T105" s="28" t="s">
        <v>19</v>
      </c>
      <c r="U105" s="82"/>
    </row>
    <row r="106" spans="1:21" ht="30.6" customHeight="1" x14ac:dyDescent="0.45">
      <c r="A106" s="83"/>
      <c r="B106" s="29" t="s">
        <v>20</v>
      </c>
      <c r="C106" s="30">
        <v>5.9781990626361132</v>
      </c>
      <c r="D106" s="30">
        <v>6.8051653508846135</v>
      </c>
      <c r="E106" s="30">
        <v>7.9603165101754607</v>
      </c>
      <c r="F106" s="30">
        <v>9.124216409010069</v>
      </c>
      <c r="G106" s="30">
        <v>12.008999130564431</v>
      </c>
      <c r="H106" s="30">
        <v>13.59296328893652</v>
      </c>
      <c r="I106" s="30">
        <v>15.152733104243721</v>
      </c>
      <c r="J106" s="30">
        <v>16.425526849992046</v>
      </c>
      <c r="K106" s="30">
        <v>18.964687389098444</v>
      </c>
      <c r="L106" s="30">
        <v>22.343069504568895</v>
      </c>
      <c r="M106" s="30">
        <v>34.691052875518963</v>
      </c>
      <c r="N106" s="30">
        <v>50.93210322041508</v>
      </c>
      <c r="O106" s="30">
        <v>85.761820430665409</v>
      </c>
      <c r="P106" s="30">
        <v>156.55733426475646</v>
      </c>
      <c r="Q106" s="30">
        <v>309.73151428005968</v>
      </c>
      <c r="R106" s="30">
        <v>503.31554035372221</v>
      </c>
      <c r="S106" s="31"/>
      <c r="T106" s="29" t="s">
        <v>25</v>
      </c>
      <c r="U106" s="83"/>
    </row>
    <row r="107" spans="1:21" ht="30.6" customHeight="1" x14ac:dyDescent="0.45">
      <c r="A107" s="81" t="s">
        <v>62</v>
      </c>
      <c r="B107" s="25" t="s">
        <v>11</v>
      </c>
      <c r="C107" s="26">
        <v>10.107733562143851</v>
      </c>
      <c r="D107" s="26">
        <v>12.079697658673274</v>
      </c>
      <c r="E107" s="26">
        <v>15.218184849566402</v>
      </c>
      <c r="F107" s="26">
        <v>16.33018722384957</v>
      </c>
      <c r="G107" s="26">
        <v>18.059970236407501</v>
      </c>
      <c r="H107" s="26">
        <v>20.633603723440434</v>
      </c>
      <c r="I107" s="26">
        <v>21.901042818467097</v>
      </c>
      <c r="J107" s="26">
        <v>24.759076144664462</v>
      </c>
      <c r="K107" s="26">
        <v>29.460372183800715</v>
      </c>
      <c r="L107" s="26">
        <v>35.240126204525446</v>
      </c>
      <c r="M107" s="26">
        <v>41.053787299401513</v>
      </c>
      <c r="N107" s="26">
        <v>42.113706815862074</v>
      </c>
      <c r="O107" s="26">
        <v>59.54213080293966</v>
      </c>
      <c r="P107" s="26">
        <v>108.89914955586008</v>
      </c>
      <c r="Q107" s="26">
        <v>203.40881497444954</v>
      </c>
      <c r="R107" s="26">
        <v>343.28639788009792</v>
      </c>
      <c r="S107" s="27"/>
      <c r="T107" s="25" t="s">
        <v>12</v>
      </c>
      <c r="U107" s="81" t="s">
        <v>63</v>
      </c>
    </row>
    <row r="108" spans="1:21" ht="30.6" customHeight="1" x14ac:dyDescent="0.45">
      <c r="A108" s="82"/>
      <c r="B108" s="28" t="s">
        <v>14</v>
      </c>
      <c r="C108" s="17">
        <v>4.0901962874110156</v>
      </c>
      <c r="D108" s="17">
        <v>4.8654413339328055</v>
      </c>
      <c r="E108" s="17">
        <v>5.9271040993872095</v>
      </c>
      <c r="F108" s="17">
        <v>7.0150282132900879</v>
      </c>
      <c r="G108" s="17">
        <v>8.3047485998705248</v>
      </c>
      <c r="H108" s="17">
        <v>9.8575229180223136</v>
      </c>
      <c r="I108" s="17">
        <v>11.397940318542995</v>
      </c>
      <c r="J108" s="17">
        <v>13.432954844144358</v>
      </c>
      <c r="K108" s="17">
        <v>15.30743793802954</v>
      </c>
      <c r="L108" s="17">
        <v>18.190383017365303</v>
      </c>
      <c r="M108" s="17">
        <v>22.77772814943307</v>
      </c>
      <c r="N108" s="17">
        <v>23.83150420160273</v>
      </c>
      <c r="O108" s="17">
        <v>30.487753999974601</v>
      </c>
      <c r="P108" s="17">
        <v>55.536162723611319</v>
      </c>
      <c r="Q108" s="17">
        <v>113.59535262367142</v>
      </c>
      <c r="R108" s="17">
        <v>209.88799336482421</v>
      </c>
      <c r="S108" s="23"/>
      <c r="T108" s="28" t="s">
        <v>15</v>
      </c>
      <c r="U108" s="82"/>
    </row>
    <row r="109" spans="1:21" ht="30.6" customHeight="1" x14ac:dyDescent="0.45">
      <c r="A109" s="82"/>
      <c r="B109" s="28" t="s">
        <v>16</v>
      </c>
      <c r="C109" s="17">
        <v>3.6428583171810074E-2</v>
      </c>
      <c r="D109" s="17">
        <v>4.5375543005042415E-2</v>
      </c>
      <c r="E109" s="17">
        <v>4.6829415508910899E-2</v>
      </c>
      <c r="F109" s="17">
        <v>7.0635284979535043E-2</v>
      </c>
      <c r="G109" s="17">
        <v>8.4796894315131835E-2</v>
      </c>
      <c r="H109" s="17">
        <v>9.1083845061232641E-2</v>
      </c>
      <c r="I109" s="17">
        <v>8.7807589989650645E-2</v>
      </c>
      <c r="J109" s="17">
        <v>9.5339686263987936E-2</v>
      </c>
      <c r="K109" s="17">
        <v>0.14674328068675374</v>
      </c>
      <c r="L109" s="17">
        <v>0.13614095394321621</v>
      </c>
      <c r="M109" s="17">
        <v>0.15700595173225623</v>
      </c>
      <c r="N109" s="17">
        <v>0.24906085221320168</v>
      </c>
      <c r="O109" s="17">
        <v>0.30601765114415452</v>
      </c>
      <c r="P109" s="17">
        <v>0.37623933795342124</v>
      </c>
      <c r="Q109" s="17">
        <v>0.75813354791193444</v>
      </c>
      <c r="R109" s="17">
        <v>1.3512928008530301</v>
      </c>
      <c r="S109" s="23"/>
      <c r="T109" s="28" t="s">
        <v>17</v>
      </c>
      <c r="U109" s="82"/>
    </row>
    <row r="110" spans="1:21" ht="30.6" customHeight="1" x14ac:dyDescent="0.45">
      <c r="A110" s="82"/>
      <c r="B110" s="28" t="s">
        <v>18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23"/>
      <c r="T110" s="28" t="s">
        <v>19</v>
      </c>
      <c r="U110" s="82"/>
    </row>
    <row r="111" spans="1:21" ht="30.6" customHeight="1" x14ac:dyDescent="0.45">
      <c r="A111" s="83"/>
      <c r="B111" s="29" t="s">
        <v>20</v>
      </c>
      <c r="C111" s="30">
        <v>5.9811086915610252</v>
      </c>
      <c r="D111" s="30">
        <v>7.1688807817354245</v>
      </c>
      <c r="E111" s="30">
        <v>9.244251334670281</v>
      </c>
      <c r="F111" s="30">
        <v>9.2445237255799473</v>
      </c>
      <c r="G111" s="30">
        <v>9.6704247422218437</v>
      </c>
      <c r="H111" s="30">
        <v>10.684996960356887</v>
      </c>
      <c r="I111" s="30">
        <v>10.415294909934451</v>
      </c>
      <c r="J111" s="30">
        <v>11.230781614256115</v>
      </c>
      <c r="K111" s="30">
        <v>14.006190965084423</v>
      </c>
      <c r="L111" s="30">
        <v>16.913602233216931</v>
      </c>
      <c r="M111" s="30">
        <v>18.119053198236191</v>
      </c>
      <c r="N111" s="30">
        <v>18.033141762046142</v>
      </c>
      <c r="O111" s="30">
        <v>28.748359151820907</v>
      </c>
      <c r="P111" s="30">
        <v>52.986747494295336</v>
      </c>
      <c r="Q111" s="30">
        <v>89.0553288028662</v>
      </c>
      <c r="R111" s="30">
        <v>132.04711171442068</v>
      </c>
      <c r="S111" s="31"/>
      <c r="T111" s="29" t="s">
        <v>25</v>
      </c>
      <c r="U111" s="83"/>
    </row>
    <row r="112" spans="1:21" ht="30.6" customHeight="1" x14ac:dyDescent="0.45">
      <c r="A112" s="81" t="s">
        <v>64</v>
      </c>
      <c r="B112" s="32" t="s">
        <v>11</v>
      </c>
      <c r="C112" s="17">
        <v>1.3594429596793263</v>
      </c>
      <c r="D112" s="17">
        <v>1.5565163562500861</v>
      </c>
      <c r="E112" s="17">
        <v>1.7858085996490238</v>
      </c>
      <c r="F112" s="17">
        <v>2.0520956281507003</v>
      </c>
      <c r="G112" s="17">
        <v>2.3318023377019057</v>
      </c>
      <c r="H112" s="17">
        <v>2.6071910472218733</v>
      </c>
      <c r="I112" s="17">
        <v>2.7923679565739028</v>
      </c>
      <c r="J112" s="17">
        <v>3.257193243779148</v>
      </c>
      <c r="K112" s="17">
        <v>4.0448913316563146</v>
      </c>
      <c r="L112" s="17">
        <v>4.8307380698454514</v>
      </c>
      <c r="M112" s="17">
        <v>5.4025331090780337</v>
      </c>
      <c r="N112" s="17">
        <v>4.2355922096993144</v>
      </c>
      <c r="O112" s="17">
        <v>4.4441338978148952</v>
      </c>
      <c r="P112" s="17">
        <v>9.4622733255296065</v>
      </c>
      <c r="Q112" s="17">
        <v>15.703634439148564</v>
      </c>
      <c r="R112" s="17">
        <v>24.805601908031001</v>
      </c>
      <c r="S112" s="23"/>
      <c r="T112" s="32" t="s">
        <v>12</v>
      </c>
      <c r="U112" s="81" t="s">
        <v>65</v>
      </c>
    </row>
    <row r="113" spans="1:21" ht="30.6" customHeight="1" x14ac:dyDescent="0.45">
      <c r="A113" s="82"/>
      <c r="B113" s="33" t="s">
        <v>14</v>
      </c>
      <c r="C113" s="17">
        <v>1.3594429596793265</v>
      </c>
      <c r="D113" s="17">
        <v>1.5565163562500863</v>
      </c>
      <c r="E113" s="17">
        <v>1.7858085996490238</v>
      </c>
      <c r="F113" s="17">
        <v>2.0520956281507008</v>
      </c>
      <c r="G113" s="17">
        <v>2.3318023377019057</v>
      </c>
      <c r="H113" s="17">
        <v>2.6071910472218738</v>
      </c>
      <c r="I113" s="17">
        <v>2.7923679565738957</v>
      </c>
      <c r="J113" s="17">
        <v>3.2571932437791387</v>
      </c>
      <c r="K113" s="17">
        <v>4.0448913316562853</v>
      </c>
      <c r="L113" s="17">
        <v>4.8307380698454425</v>
      </c>
      <c r="M113" s="17">
        <v>5.4025331090780213</v>
      </c>
      <c r="N113" s="17">
        <v>4.235592209699294</v>
      </c>
      <c r="O113" s="17">
        <v>4.4441338978148988</v>
      </c>
      <c r="P113" s="17">
        <v>9.4622733255295532</v>
      </c>
      <c r="Q113" s="17">
        <v>15.703634439148564</v>
      </c>
      <c r="R113" s="17">
        <v>24.805601908031001</v>
      </c>
      <c r="S113" s="23"/>
      <c r="T113" s="33" t="s">
        <v>15</v>
      </c>
      <c r="U113" s="82"/>
    </row>
    <row r="114" spans="1:21" ht="30.6" customHeight="1" x14ac:dyDescent="0.45">
      <c r="A114" s="82"/>
      <c r="B114" s="33" t="s">
        <v>16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23"/>
      <c r="T114" s="33" t="s">
        <v>17</v>
      </c>
      <c r="U114" s="82"/>
    </row>
    <row r="115" spans="1:21" ht="30.6" customHeight="1" x14ac:dyDescent="0.45">
      <c r="A115" s="82"/>
      <c r="B115" s="33" t="s">
        <v>18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23"/>
      <c r="T115" s="33" t="s">
        <v>19</v>
      </c>
      <c r="U115" s="82"/>
    </row>
    <row r="116" spans="1:21" ht="30.6" customHeight="1" x14ac:dyDescent="0.45">
      <c r="A116" s="82"/>
      <c r="B116" s="32" t="s">
        <v>20</v>
      </c>
      <c r="C116" s="17">
        <v>-2.3283064365386962E-16</v>
      </c>
      <c r="D116" s="17">
        <v>-2.3283064365386962E-16</v>
      </c>
      <c r="E116" s="17">
        <v>0</v>
      </c>
      <c r="F116" s="17">
        <v>-4.6566128730773924E-16</v>
      </c>
      <c r="G116" s="17">
        <v>0</v>
      </c>
      <c r="H116" s="17">
        <v>-4.6566128730773924E-16</v>
      </c>
      <c r="I116" s="17">
        <v>6.984919309616089E-15</v>
      </c>
      <c r="J116" s="17">
        <v>9.3132257461547859E-15</v>
      </c>
      <c r="K116" s="17">
        <v>2.9802322387695311E-14</v>
      </c>
      <c r="L116" s="17">
        <v>8.3819031715393069E-15</v>
      </c>
      <c r="M116" s="17">
        <v>1.210719347000122E-14</v>
      </c>
      <c r="N116" s="17">
        <v>2.0489096641540527E-14</v>
      </c>
      <c r="O116" s="17">
        <v>-3.7252902984619139E-15</v>
      </c>
      <c r="P116" s="17">
        <v>5.4016709327697754E-14</v>
      </c>
      <c r="Q116" s="17">
        <v>0</v>
      </c>
      <c r="R116" s="17">
        <v>0</v>
      </c>
      <c r="S116" s="23"/>
      <c r="T116" s="32" t="s">
        <v>25</v>
      </c>
      <c r="U116" s="82"/>
    </row>
    <row r="117" spans="1:21" ht="20.399999999999999" customHeight="1" thickBot="1" x14ac:dyDescent="0.5">
      <c r="A117" s="34"/>
      <c r="B117" s="35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7"/>
      <c r="T117" s="38"/>
      <c r="U117" s="34"/>
    </row>
    <row r="118" spans="1:21" ht="37.5" customHeight="1" x14ac:dyDescent="0.45">
      <c r="A118" s="39" t="s">
        <v>66</v>
      </c>
      <c r="B118" s="39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1"/>
      <c r="U118" s="39"/>
    </row>
    <row r="119" spans="1:21" ht="37.5" customHeight="1" x14ac:dyDescent="0.45">
      <c r="A119" s="42" t="s">
        <v>67</v>
      </c>
      <c r="B119" s="42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1"/>
      <c r="U119" s="42"/>
    </row>
    <row r="120" spans="1:21" ht="28.5" customHeight="1" x14ac:dyDescent="0.45">
      <c r="A120" s="39"/>
      <c r="B120" s="43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1"/>
      <c r="U120" s="39"/>
    </row>
    <row r="121" spans="1:21" ht="37.5" customHeight="1" x14ac:dyDescent="0.45">
      <c r="A121" s="42"/>
      <c r="B121" s="42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1"/>
      <c r="U121" s="42"/>
    </row>
    <row r="123" spans="1:21" x14ac:dyDescent="0.45">
      <c r="A123" s="45"/>
      <c r="B123" s="45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19"/>
      <c r="U123" s="45"/>
    </row>
    <row r="125" spans="1:21" x14ac:dyDescent="0.45"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19"/>
    </row>
  </sheetData>
  <mergeCells count="42">
    <mergeCell ref="A10:A16"/>
    <mergeCell ref="U10:U16"/>
    <mergeCell ref="A17:A21"/>
    <mergeCell ref="U17:U21"/>
    <mergeCell ref="A22:A26"/>
    <mergeCell ref="U22:U26"/>
    <mergeCell ref="A27:A31"/>
    <mergeCell ref="U27:U31"/>
    <mergeCell ref="A32:A36"/>
    <mergeCell ref="U32:U36"/>
    <mergeCell ref="A37:A41"/>
    <mergeCell ref="U37:U41"/>
    <mergeCell ref="A42:A46"/>
    <mergeCell ref="U42:U46"/>
    <mergeCell ref="A47:A51"/>
    <mergeCell ref="U47:U51"/>
    <mergeCell ref="A52:A56"/>
    <mergeCell ref="U52:U56"/>
    <mergeCell ref="A57:A61"/>
    <mergeCell ref="U57:U61"/>
    <mergeCell ref="A62:A66"/>
    <mergeCell ref="U62:U66"/>
    <mergeCell ref="A67:A71"/>
    <mergeCell ref="U67:U71"/>
    <mergeCell ref="A72:A76"/>
    <mergeCell ref="U72:U76"/>
    <mergeCell ref="A77:A81"/>
    <mergeCell ref="U77:U81"/>
    <mergeCell ref="A82:A86"/>
    <mergeCell ref="U82:U86"/>
    <mergeCell ref="A87:A91"/>
    <mergeCell ref="U87:U91"/>
    <mergeCell ref="A92:A96"/>
    <mergeCell ref="U92:U96"/>
    <mergeCell ref="A97:A101"/>
    <mergeCell ref="U97:U101"/>
    <mergeCell ref="A102:A106"/>
    <mergeCell ref="U102:U106"/>
    <mergeCell ref="A107:A111"/>
    <mergeCell ref="U107:U111"/>
    <mergeCell ref="A112:A116"/>
    <mergeCell ref="U112:U116"/>
  </mergeCells>
  <printOptions horizontalCentered="1" verticalCentered="1"/>
  <pageMargins left="0.31496062992125984" right="0.31496062992125984" top="0.15748031496062992" bottom="0.39370078740157483" header="0.31496062992125984" footer="0.31496062992125984"/>
  <pageSetup paperSize="9" scale="16" orientation="portrait" r:id="rId1"/>
  <headerFooter>
    <oddFooter>&amp;C&amp;20 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3A19-D7BA-4585-B555-CD00DB9ADD26}">
  <sheetPr>
    <tabColor theme="6" tint="0.39997558519241921"/>
    <pageSetUpPr fitToPage="1"/>
  </sheetPr>
  <dimension ref="A1:R288"/>
  <sheetViews>
    <sheetView showGridLines="0" topLeftCell="A43" zoomScaleNormal="100" zoomScaleSheetLayoutView="90" workbookViewId="0"/>
  </sheetViews>
  <sheetFormatPr defaultColWidth="10.109375" defaultRowHeight="13.2" x14ac:dyDescent="0.25"/>
  <cols>
    <col min="1" max="1" width="5.21875" style="47" customWidth="1"/>
    <col min="2" max="2" width="39" style="48" customWidth="1"/>
    <col min="3" max="3" width="11.77734375" style="49" customWidth="1"/>
    <col min="4" max="16" width="11.77734375" style="48" customWidth="1"/>
    <col min="17" max="16384" width="10.109375" style="48"/>
  </cols>
  <sheetData>
    <row r="1" spans="1:18" ht="15" customHeight="1" x14ac:dyDescent="0.25"/>
    <row r="2" spans="1:18" ht="15" customHeight="1" x14ac:dyDescent="0.25"/>
    <row r="3" spans="1:18" ht="15" customHeight="1" x14ac:dyDescent="0.25"/>
    <row r="4" spans="1:18" ht="20.100000000000001" customHeight="1" x14ac:dyDescent="0.25">
      <c r="A4" s="73" t="s">
        <v>68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8" ht="20.100000000000001" customHeight="1" x14ac:dyDescent="0.25">
      <c r="A5" s="92" t="s">
        <v>69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</row>
    <row r="6" spans="1:18" s="47" customFormat="1" ht="25.05" customHeight="1" x14ac:dyDescent="0.2">
      <c r="A6" s="75" t="s">
        <v>70</v>
      </c>
      <c r="B6" s="76" t="s">
        <v>71</v>
      </c>
      <c r="C6" s="78" t="s">
        <v>72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9" t="s">
        <v>73</v>
      </c>
    </row>
    <row r="7" spans="1:18" s="47" customFormat="1" ht="25.05" customHeight="1" x14ac:dyDescent="0.2">
      <c r="A7" s="75"/>
      <c r="B7" s="77"/>
      <c r="C7" s="78" t="s">
        <v>74</v>
      </c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80"/>
    </row>
    <row r="8" spans="1:18" s="47" customFormat="1" ht="25.05" customHeight="1" x14ac:dyDescent="0.2">
      <c r="A8" s="75"/>
      <c r="B8" s="77"/>
      <c r="C8" s="50" t="s">
        <v>75</v>
      </c>
      <c r="D8" s="51" t="s">
        <v>76</v>
      </c>
      <c r="E8" s="52" t="s">
        <v>77</v>
      </c>
      <c r="F8" s="52" t="s">
        <v>78</v>
      </c>
      <c r="G8" s="52" t="s">
        <v>79</v>
      </c>
      <c r="H8" s="52" t="s">
        <v>80</v>
      </c>
      <c r="I8" s="52" t="s">
        <v>81</v>
      </c>
      <c r="J8" s="52" t="s">
        <v>82</v>
      </c>
      <c r="K8" s="52" t="s">
        <v>83</v>
      </c>
      <c r="L8" s="52" t="s">
        <v>84</v>
      </c>
      <c r="M8" s="52" t="s">
        <v>85</v>
      </c>
      <c r="N8" s="52" t="s">
        <v>86</v>
      </c>
      <c r="O8" s="52" t="s">
        <v>87</v>
      </c>
      <c r="P8" s="80"/>
    </row>
    <row r="9" spans="1:18" s="47" customFormat="1" ht="15" customHeight="1" x14ac:dyDescent="0.2">
      <c r="A9" s="53" t="s">
        <v>88</v>
      </c>
      <c r="B9" s="54" t="s">
        <v>89</v>
      </c>
      <c r="C9" s="55">
        <v>8459</v>
      </c>
      <c r="D9" s="55">
        <v>5735</v>
      </c>
      <c r="E9" s="55">
        <v>2391</v>
      </c>
      <c r="F9" s="55">
        <v>926</v>
      </c>
      <c r="G9" s="55">
        <v>1142</v>
      </c>
      <c r="H9" s="55">
        <v>409</v>
      </c>
      <c r="I9" s="55">
        <v>333</v>
      </c>
      <c r="J9" s="55">
        <v>212</v>
      </c>
      <c r="K9" s="55">
        <v>109</v>
      </c>
      <c r="L9" s="55">
        <v>15</v>
      </c>
      <c r="M9" s="55">
        <v>4</v>
      </c>
      <c r="N9" s="55">
        <v>0</v>
      </c>
      <c r="O9" s="55">
        <v>0</v>
      </c>
      <c r="P9" s="56">
        <f>SUM(C9:O9)</f>
        <v>19735</v>
      </c>
      <c r="R9" s="57"/>
    </row>
    <row r="10" spans="1:18" s="47" customFormat="1" ht="15" customHeight="1" x14ac:dyDescent="0.2">
      <c r="A10" s="58" t="s">
        <v>90</v>
      </c>
      <c r="B10" s="59" t="s">
        <v>91</v>
      </c>
      <c r="C10" s="60">
        <v>870</v>
      </c>
      <c r="D10" s="60">
        <v>783</v>
      </c>
      <c r="E10" s="60">
        <v>497</v>
      </c>
      <c r="F10" s="60">
        <v>202</v>
      </c>
      <c r="G10" s="60">
        <v>250</v>
      </c>
      <c r="H10" s="60">
        <v>80</v>
      </c>
      <c r="I10" s="60">
        <v>92</v>
      </c>
      <c r="J10" s="60">
        <v>153</v>
      </c>
      <c r="K10" s="60">
        <v>41</v>
      </c>
      <c r="L10" s="60">
        <v>3</v>
      </c>
      <c r="M10" s="60">
        <v>0</v>
      </c>
      <c r="N10" s="60">
        <v>0</v>
      </c>
      <c r="O10" s="60">
        <v>0</v>
      </c>
      <c r="P10" s="61">
        <f t="shared" ref="P10:P73" si="0">SUM(C10:O10)</f>
        <v>2971</v>
      </c>
      <c r="R10" s="57"/>
    </row>
    <row r="11" spans="1:18" s="47" customFormat="1" ht="15" customHeight="1" x14ac:dyDescent="0.2">
      <c r="A11" s="53" t="s">
        <v>92</v>
      </c>
      <c r="B11" s="54" t="s">
        <v>93</v>
      </c>
      <c r="C11" s="55">
        <v>391</v>
      </c>
      <c r="D11" s="55">
        <v>450</v>
      </c>
      <c r="E11" s="55">
        <v>247</v>
      </c>
      <c r="F11" s="55">
        <v>96</v>
      </c>
      <c r="G11" s="55">
        <v>205</v>
      </c>
      <c r="H11" s="55">
        <v>136</v>
      </c>
      <c r="I11" s="55">
        <v>67</v>
      </c>
      <c r="J11" s="55">
        <v>21</v>
      </c>
      <c r="K11" s="55">
        <v>12</v>
      </c>
      <c r="L11" s="55">
        <v>1</v>
      </c>
      <c r="M11" s="55">
        <v>0</v>
      </c>
      <c r="N11" s="55">
        <v>0</v>
      </c>
      <c r="O11" s="55">
        <v>0</v>
      </c>
      <c r="P11" s="56">
        <f t="shared" si="0"/>
        <v>1626</v>
      </c>
      <c r="R11" s="57"/>
    </row>
    <row r="12" spans="1:18" s="62" customFormat="1" ht="15" customHeight="1" x14ac:dyDescent="0.25">
      <c r="A12" s="58" t="s">
        <v>94</v>
      </c>
      <c r="B12" s="59" t="s">
        <v>95</v>
      </c>
      <c r="C12" s="60">
        <v>75</v>
      </c>
      <c r="D12" s="60">
        <v>59</v>
      </c>
      <c r="E12" s="60">
        <v>46</v>
      </c>
      <c r="F12" s="60">
        <v>28</v>
      </c>
      <c r="G12" s="60">
        <v>56</v>
      </c>
      <c r="H12" s="60">
        <v>32</v>
      </c>
      <c r="I12" s="60">
        <v>36</v>
      </c>
      <c r="J12" s="60">
        <v>26</v>
      </c>
      <c r="K12" s="60">
        <v>30</v>
      </c>
      <c r="L12" s="60">
        <v>11</v>
      </c>
      <c r="M12" s="60">
        <v>4</v>
      </c>
      <c r="N12" s="60">
        <v>3</v>
      </c>
      <c r="O12" s="60">
        <v>10</v>
      </c>
      <c r="P12" s="61">
        <f t="shared" si="0"/>
        <v>416</v>
      </c>
      <c r="R12" s="57"/>
    </row>
    <row r="13" spans="1:18" s="47" customFormat="1" ht="15" customHeight="1" x14ac:dyDescent="0.2">
      <c r="A13" s="53" t="s">
        <v>96</v>
      </c>
      <c r="B13" s="54" t="s">
        <v>97</v>
      </c>
      <c r="C13" s="55">
        <v>3</v>
      </c>
      <c r="D13" s="55">
        <v>4</v>
      </c>
      <c r="E13" s="55">
        <v>4</v>
      </c>
      <c r="F13" s="55">
        <v>4</v>
      </c>
      <c r="G13" s="55">
        <v>2</v>
      </c>
      <c r="H13" s="55">
        <v>2</v>
      </c>
      <c r="I13" s="55">
        <v>6</v>
      </c>
      <c r="J13" s="55">
        <v>2</v>
      </c>
      <c r="K13" s="55">
        <v>4</v>
      </c>
      <c r="L13" s="55">
        <v>1</v>
      </c>
      <c r="M13" s="55">
        <v>0</v>
      </c>
      <c r="N13" s="55">
        <v>1</v>
      </c>
      <c r="O13" s="55">
        <v>0</v>
      </c>
      <c r="P13" s="56">
        <f t="shared" si="0"/>
        <v>33</v>
      </c>
      <c r="R13" s="57"/>
    </row>
    <row r="14" spans="1:18" s="47" customFormat="1" ht="15" customHeight="1" x14ac:dyDescent="0.2">
      <c r="A14" s="58" t="s">
        <v>98</v>
      </c>
      <c r="B14" s="59" t="s">
        <v>99</v>
      </c>
      <c r="C14" s="60">
        <v>202</v>
      </c>
      <c r="D14" s="60">
        <v>161</v>
      </c>
      <c r="E14" s="60">
        <v>103</v>
      </c>
      <c r="F14" s="60">
        <v>62</v>
      </c>
      <c r="G14" s="60">
        <v>95</v>
      </c>
      <c r="H14" s="60">
        <v>47</v>
      </c>
      <c r="I14" s="60">
        <v>42</v>
      </c>
      <c r="J14" s="60">
        <v>40</v>
      </c>
      <c r="K14" s="60">
        <v>37</v>
      </c>
      <c r="L14" s="60">
        <v>25</v>
      </c>
      <c r="M14" s="60">
        <v>9</v>
      </c>
      <c r="N14" s="60">
        <v>3</v>
      </c>
      <c r="O14" s="60">
        <v>2</v>
      </c>
      <c r="P14" s="61">
        <f t="shared" si="0"/>
        <v>828</v>
      </c>
      <c r="R14" s="57"/>
    </row>
    <row r="15" spans="1:18" s="47" customFormat="1" ht="15" customHeight="1" x14ac:dyDescent="0.2">
      <c r="A15" s="53" t="s">
        <v>100</v>
      </c>
      <c r="B15" s="54" t="s">
        <v>101</v>
      </c>
      <c r="C15" s="55">
        <v>1208</v>
      </c>
      <c r="D15" s="55">
        <v>1121</v>
      </c>
      <c r="E15" s="55">
        <v>897</v>
      </c>
      <c r="F15" s="55">
        <v>537</v>
      </c>
      <c r="G15" s="55">
        <v>835</v>
      </c>
      <c r="H15" s="55">
        <v>316</v>
      </c>
      <c r="I15" s="55">
        <v>202</v>
      </c>
      <c r="J15" s="55">
        <v>99</v>
      </c>
      <c r="K15" s="55">
        <v>39</v>
      </c>
      <c r="L15" s="55">
        <v>5</v>
      </c>
      <c r="M15" s="55">
        <v>3</v>
      </c>
      <c r="N15" s="55">
        <v>0</v>
      </c>
      <c r="O15" s="55">
        <v>2</v>
      </c>
      <c r="P15" s="56">
        <f t="shared" si="0"/>
        <v>5264</v>
      </c>
      <c r="R15" s="57"/>
    </row>
    <row r="16" spans="1:18" s="47" customFormat="1" ht="15" customHeight="1" x14ac:dyDescent="0.2">
      <c r="A16" s="58" t="s">
        <v>102</v>
      </c>
      <c r="B16" s="59" t="s">
        <v>103</v>
      </c>
      <c r="C16" s="60">
        <v>151</v>
      </c>
      <c r="D16" s="60">
        <v>130</v>
      </c>
      <c r="E16" s="60">
        <v>110</v>
      </c>
      <c r="F16" s="60">
        <v>53</v>
      </c>
      <c r="G16" s="60">
        <v>81</v>
      </c>
      <c r="H16" s="60">
        <v>48</v>
      </c>
      <c r="I16" s="60">
        <v>59</v>
      </c>
      <c r="J16" s="60">
        <v>30</v>
      </c>
      <c r="K16" s="60">
        <v>16</v>
      </c>
      <c r="L16" s="60">
        <v>8</v>
      </c>
      <c r="M16" s="60">
        <v>0</v>
      </c>
      <c r="N16" s="60">
        <v>0</v>
      </c>
      <c r="O16" s="60">
        <v>0</v>
      </c>
      <c r="P16" s="61">
        <f t="shared" si="0"/>
        <v>686</v>
      </c>
      <c r="R16" s="57"/>
    </row>
    <row r="17" spans="1:18" s="47" customFormat="1" ht="15" customHeight="1" x14ac:dyDescent="0.2">
      <c r="A17" s="53" t="s">
        <v>104</v>
      </c>
      <c r="B17" s="54" t="s">
        <v>105</v>
      </c>
      <c r="C17" s="55">
        <v>11926</v>
      </c>
      <c r="D17" s="55">
        <v>14534</v>
      </c>
      <c r="E17" s="55">
        <v>9689</v>
      </c>
      <c r="F17" s="55">
        <v>4349</v>
      </c>
      <c r="G17" s="55">
        <v>4713</v>
      </c>
      <c r="H17" s="55">
        <v>1467</v>
      </c>
      <c r="I17" s="55">
        <v>1124</v>
      </c>
      <c r="J17" s="55">
        <v>761</v>
      </c>
      <c r="K17" s="55">
        <v>461</v>
      </c>
      <c r="L17" s="55">
        <v>167</v>
      </c>
      <c r="M17" s="55">
        <v>50</v>
      </c>
      <c r="N17" s="55">
        <v>26</v>
      </c>
      <c r="O17" s="55">
        <v>27</v>
      </c>
      <c r="P17" s="56">
        <f t="shared" si="0"/>
        <v>49294</v>
      </c>
      <c r="R17" s="57"/>
    </row>
    <row r="18" spans="1:18" s="47" customFormat="1" ht="15" customHeight="1" x14ac:dyDescent="0.2">
      <c r="A18" s="58" t="s">
        <v>106</v>
      </c>
      <c r="B18" s="59" t="s">
        <v>107</v>
      </c>
      <c r="C18" s="60">
        <v>114</v>
      </c>
      <c r="D18" s="60">
        <v>145</v>
      </c>
      <c r="E18" s="60">
        <v>107</v>
      </c>
      <c r="F18" s="60">
        <v>61</v>
      </c>
      <c r="G18" s="60">
        <v>116</v>
      </c>
      <c r="H18" s="60">
        <v>54</v>
      </c>
      <c r="I18" s="60">
        <v>49</v>
      </c>
      <c r="J18" s="60">
        <v>62</v>
      </c>
      <c r="K18" s="60">
        <v>33</v>
      </c>
      <c r="L18" s="60">
        <v>5</v>
      </c>
      <c r="M18" s="60">
        <v>0</v>
      </c>
      <c r="N18" s="60">
        <v>0</v>
      </c>
      <c r="O18" s="60">
        <v>0</v>
      </c>
      <c r="P18" s="61">
        <f t="shared" si="0"/>
        <v>746</v>
      </c>
      <c r="R18" s="57"/>
    </row>
    <row r="19" spans="1:18" s="47" customFormat="1" ht="15" customHeight="1" x14ac:dyDescent="0.2">
      <c r="A19" s="53" t="s">
        <v>108</v>
      </c>
      <c r="B19" s="54" t="s">
        <v>109</v>
      </c>
      <c r="C19" s="55">
        <v>17</v>
      </c>
      <c r="D19" s="55">
        <v>18</v>
      </c>
      <c r="E19" s="55">
        <v>8</v>
      </c>
      <c r="F19" s="55">
        <v>11</v>
      </c>
      <c r="G19" s="55">
        <v>24</v>
      </c>
      <c r="H19" s="55">
        <v>7</v>
      </c>
      <c r="I19" s="55">
        <v>6</v>
      </c>
      <c r="J19" s="55">
        <v>4</v>
      </c>
      <c r="K19" s="55">
        <v>13</v>
      </c>
      <c r="L19" s="55">
        <v>1</v>
      </c>
      <c r="M19" s="55">
        <v>1</v>
      </c>
      <c r="N19" s="55">
        <v>1</v>
      </c>
      <c r="O19" s="55">
        <v>1</v>
      </c>
      <c r="P19" s="56">
        <f t="shared" si="0"/>
        <v>112</v>
      </c>
      <c r="R19" s="57"/>
    </row>
    <row r="20" spans="1:18" s="62" customFormat="1" ht="15" customHeight="1" x14ac:dyDescent="0.25">
      <c r="A20" s="58" t="s">
        <v>110</v>
      </c>
      <c r="B20" s="59" t="s">
        <v>111</v>
      </c>
      <c r="C20" s="60">
        <v>5035</v>
      </c>
      <c r="D20" s="60">
        <v>4852</v>
      </c>
      <c r="E20" s="60">
        <v>3138</v>
      </c>
      <c r="F20" s="60">
        <v>1434</v>
      </c>
      <c r="G20" s="60">
        <v>1909</v>
      </c>
      <c r="H20" s="60">
        <v>810</v>
      </c>
      <c r="I20" s="60">
        <v>769</v>
      </c>
      <c r="J20" s="60">
        <v>663</v>
      </c>
      <c r="K20" s="60">
        <v>588</v>
      </c>
      <c r="L20" s="60">
        <v>193</v>
      </c>
      <c r="M20" s="60">
        <v>39</v>
      </c>
      <c r="N20" s="60">
        <v>15</v>
      </c>
      <c r="O20" s="60">
        <v>16</v>
      </c>
      <c r="P20" s="61">
        <f t="shared" si="0"/>
        <v>19461</v>
      </c>
      <c r="R20" s="57"/>
    </row>
    <row r="21" spans="1:18" s="47" customFormat="1" ht="15" customHeight="1" x14ac:dyDescent="0.2">
      <c r="A21" s="53" t="s">
        <v>112</v>
      </c>
      <c r="B21" s="54" t="s">
        <v>113</v>
      </c>
      <c r="C21" s="55">
        <v>10013</v>
      </c>
      <c r="D21" s="55">
        <v>10677</v>
      </c>
      <c r="E21" s="55">
        <v>6868</v>
      </c>
      <c r="F21" s="55">
        <v>3086</v>
      </c>
      <c r="G21" s="55">
        <v>3653</v>
      </c>
      <c r="H21" s="55">
        <v>1334</v>
      </c>
      <c r="I21" s="55">
        <v>1313</v>
      </c>
      <c r="J21" s="55">
        <v>1501</v>
      </c>
      <c r="K21" s="55">
        <v>976</v>
      </c>
      <c r="L21" s="55">
        <v>169</v>
      </c>
      <c r="M21" s="55">
        <v>31</v>
      </c>
      <c r="N21" s="55">
        <v>12</v>
      </c>
      <c r="O21" s="55">
        <v>7</v>
      </c>
      <c r="P21" s="56">
        <f t="shared" si="0"/>
        <v>39640</v>
      </c>
      <c r="R21" s="57"/>
    </row>
    <row r="22" spans="1:18" s="47" customFormat="1" ht="15" customHeight="1" x14ac:dyDescent="0.2">
      <c r="A22" s="58" t="s">
        <v>114</v>
      </c>
      <c r="B22" s="59" t="s">
        <v>115</v>
      </c>
      <c r="C22" s="60">
        <v>2172</v>
      </c>
      <c r="D22" s="60">
        <v>2200</v>
      </c>
      <c r="E22" s="60">
        <v>1274</v>
      </c>
      <c r="F22" s="60">
        <v>599</v>
      </c>
      <c r="G22" s="60">
        <v>636</v>
      </c>
      <c r="H22" s="60">
        <v>245</v>
      </c>
      <c r="I22" s="60">
        <v>170</v>
      </c>
      <c r="J22" s="60">
        <v>109</v>
      </c>
      <c r="K22" s="60">
        <v>54</v>
      </c>
      <c r="L22" s="60">
        <v>13</v>
      </c>
      <c r="M22" s="60">
        <v>6</v>
      </c>
      <c r="N22" s="60">
        <v>1</v>
      </c>
      <c r="O22" s="60">
        <v>0</v>
      </c>
      <c r="P22" s="61">
        <f t="shared" si="0"/>
        <v>7479</v>
      </c>
      <c r="R22" s="57"/>
    </row>
    <row r="23" spans="1:18" s="47" customFormat="1" ht="15" customHeight="1" x14ac:dyDescent="0.2">
      <c r="A23" s="53" t="s">
        <v>116</v>
      </c>
      <c r="B23" s="54" t="s">
        <v>117</v>
      </c>
      <c r="C23" s="55">
        <v>4708</v>
      </c>
      <c r="D23" s="55">
        <v>3633</v>
      </c>
      <c r="E23" s="55">
        <v>1669</v>
      </c>
      <c r="F23" s="55">
        <v>642</v>
      </c>
      <c r="G23" s="55">
        <v>711</v>
      </c>
      <c r="H23" s="55">
        <v>229</v>
      </c>
      <c r="I23" s="55">
        <v>139</v>
      </c>
      <c r="J23" s="55">
        <v>93</v>
      </c>
      <c r="K23" s="55">
        <v>27</v>
      </c>
      <c r="L23" s="55">
        <v>14</v>
      </c>
      <c r="M23" s="55">
        <v>5</v>
      </c>
      <c r="N23" s="55">
        <v>1</v>
      </c>
      <c r="O23" s="55">
        <v>1</v>
      </c>
      <c r="P23" s="56">
        <f t="shared" si="0"/>
        <v>11872</v>
      </c>
      <c r="R23" s="57"/>
    </row>
    <row r="24" spans="1:18" s="47" customFormat="1" ht="15" customHeight="1" x14ac:dyDescent="0.2">
      <c r="A24" s="58" t="s">
        <v>118</v>
      </c>
      <c r="B24" s="59" t="s">
        <v>119</v>
      </c>
      <c r="C24" s="60">
        <v>857</v>
      </c>
      <c r="D24" s="60">
        <v>925</v>
      </c>
      <c r="E24" s="60">
        <v>667</v>
      </c>
      <c r="F24" s="60">
        <v>323</v>
      </c>
      <c r="G24" s="60">
        <v>465</v>
      </c>
      <c r="H24" s="60">
        <v>190</v>
      </c>
      <c r="I24" s="60">
        <v>173</v>
      </c>
      <c r="J24" s="60">
        <v>152</v>
      </c>
      <c r="K24" s="60">
        <v>111</v>
      </c>
      <c r="L24" s="60">
        <v>27</v>
      </c>
      <c r="M24" s="60">
        <v>5</v>
      </c>
      <c r="N24" s="60">
        <v>1</v>
      </c>
      <c r="O24" s="60">
        <v>1</v>
      </c>
      <c r="P24" s="61">
        <f t="shared" si="0"/>
        <v>3897</v>
      </c>
      <c r="R24" s="57"/>
    </row>
    <row r="25" spans="1:18" s="47" customFormat="1" ht="15" customHeight="1" x14ac:dyDescent="0.2">
      <c r="A25" s="53" t="s">
        <v>120</v>
      </c>
      <c r="B25" s="54" t="s">
        <v>121</v>
      </c>
      <c r="C25" s="55">
        <v>2419</v>
      </c>
      <c r="D25" s="55">
        <v>2050</v>
      </c>
      <c r="E25" s="55">
        <v>1010</v>
      </c>
      <c r="F25" s="55">
        <v>378</v>
      </c>
      <c r="G25" s="55">
        <v>378</v>
      </c>
      <c r="H25" s="55">
        <v>132</v>
      </c>
      <c r="I25" s="55">
        <v>103</v>
      </c>
      <c r="J25" s="55">
        <v>58</v>
      </c>
      <c r="K25" s="55">
        <v>35</v>
      </c>
      <c r="L25" s="55">
        <v>8</v>
      </c>
      <c r="M25" s="55">
        <v>0</v>
      </c>
      <c r="N25" s="55">
        <v>1</v>
      </c>
      <c r="O25" s="55">
        <v>0</v>
      </c>
      <c r="P25" s="56">
        <f t="shared" si="0"/>
        <v>6572</v>
      </c>
      <c r="R25" s="57"/>
    </row>
    <row r="26" spans="1:18" s="47" customFormat="1" ht="15" customHeight="1" x14ac:dyDescent="0.2">
      <c r="A26" s="58" t="s">
        <v>122</v>
      </c>
      <c r="B26" s="59" t="s">
        <v>123</v>
      </c>
      <c r="C26" s="60">
        <v>59</v>
      </c>
      <c r="D26" s="60">
        <v>58</v>
      </c>
      <c r="E26" s="60">
        <v>60</v>
      </c>
      <c r="F26" s="60">
        <v>22</v>
      </c>
      <c r="G26" s="60">
        <v>45</v>
      </c>
      <c r="H26" s="60">
        <v>13</v>
      </c>
      <c r="I26" s="60">
        <v>17</v>
      </c>
      <c r="J26" s="60">
        <v>9</v>
      </c>
      <c r="K26" s="60">
        <v>3</v>
      </c>
      <c r="L26" s="60">
        <v>1</v>
      </c>
      <c r="M26" s="60">
        <v>0</v>
      </c>
      <c r="N26" s="60">
        <v>1</v>
      </c>
      <c r="O26" s="60">
        <v>3</v>
      </c>
      <c r="P26" s="61">
        <f t="shared" si="0"/>
        <v>291</v>
      </c>
      <c r="R26" s="57"/>
    </row>
    <row r="27" spans="1:18" s="47" customFormat="1" ht="15" customHeight="1" x14ac:dyDescent="0.2">
      <c r="A27" s="53" t="s">
        <v>124</v>
      </c>
      <c r="B27" s="54" t="s">
        <v>125</v>
      </c>
      <c r="C27" s="55">
        <v>1899</v>
      </c>
      <c r="D27" s="55">
        <v>1945</v>
      </c>
      <c r="E27" s="55">
        <v>1198</v>
      </c>
      <c r="F27" s="55">
        <v>539</v>
      </c>
      <c r="G27" s="55">
        <v>742</v>
      </c>
      <c r="H27" s="55">
        <v>311</v>
      </c>
      <c r="I27" s="55">
        <v>258</v>
      </c>
      <c r="J27" s="55">
        <v>204</v>
      </c>
      <c r="K27" s="55">
        <v>154</v>
      </c>
      <c r="L27" s="55">
        <v>38</v>
      </c>
      <c r="M27" s="55">
        <v>8</v>
      </c>
      <c r="N27" s="55">
        <v>2</v>
      </c>
      <c r="O27" s="55">
        <v>4</v>
      </c>
      <c r="P27" s="56">
        <f t="shared" si="0"/>
        <v>7302</v>
      </c>
      <c r="R27" s="57"/>
    </row>
    <row r="28" spans="1:18" s="47" customFormat="1" ht="15" customHeight="1" x14ac:dyDescent="0.2">
      <c r="A28" s="58" t="s">
        <v>126</v>
      </c>
      <c r="B28" s="59" t="s">
        <v>127</v>
      </c>
      <c r="C28" s="60">
        <v>166</v>
      </c>
      <c r="D28" s="60">
        <v>178</v>
      </c>
      <c r="E28" s="60">
        <v>113</v>
      </c>
      <c r="F28" s="60">
        <v>54</v>
      </c>
      <c r="G28" s="60">
        <v>96</v>
      </c>
      <c r="H28" s="60">
        <v>54</v>
      </c>
      <c r="I28" s="60">
        <v>60</v>
      </c>
      <c r="J28" s="60">
        <v>51</v>
      </c>
      <c r="K28" s="60">
        <v>42</v>
      </c>
      <c r="L28" s="60">
        <v>20</v>
      </c>
      <c r="M28" s="60">
        <v>8</v>
      </c>
      <c r="N28" s="60">
        <v>7</v>
      </c>
      <c r="O28" s="60">
        <v>5</v>
      </c>
      <c r="P28" s="61">
        <f t="shared" si="0"/>
        <v>854</v>
      </c>
      <c r="R28" s="57"/>
    </row>
    <row r="29" spans="1:18" s="47" customFormat="1" ht="15" customHeight="1" x14ac:dyDescent="0.2">
      <c r="A29" s="53" t="s">
        <v>128</v>
      </c>
      <c r="B29" s="54" t="s">
        <v>129</v>
      </c>
      <c r="C29" s="55">
        <v>4019</v>
      </c>
      <c r="D29" s="55">
        <v>4353</v>
      </c>
      <c r="E29" s="55">
        <v>2522</v>
      </c>
      <c r="F29" s="55">
        <v>1147</v>
      </c>
      <c r="G29" s="55">
        <v>1587</v>
      </c>
      <c r="H29" s="55">
        <v>634</v>
      </c>
      <c r="I29" s="55">
        <v>546</v>
      </c>
      <c r="J29" s="55">
        <v>474</v>
      </c>
      <c r="K29" s="55">
        <v>283</v>
      </c>
      <c r="L29" s="55">
        <v>72</v>
      </c>
      <c r="M29" s="55">
        <v>7</v>
      </c>
      <c r="N29" s="55">
        <v>6</v>
      </c>
      <c r="O29" s="55">
        <v>13</v>
      </c>
      <c r="P29" s="56">
        <f t="shared" si="0"/>
        <v>15663</v>
      </c>
      <c r="R29" s="57"/>
    </row>
    <row r="30" spans="1:18" s="47" customFormat="1" ht="15" customHeight="1" x14ac:dyDescent="0.2">
      <c r="A30" s="58" t="s">
        <v>130</v>
      </c>
      <c r="B30" s="59" t="s">
        <v>131</v>
      </c>
      <c r="C30" s="60">
        <v>4158</v>
      </c>
      <c r="D30" s="60">
        <v>4074</v>
      </c>
      <c r="E30" s="60">
        <v>2316</v>
      </c>
      <c r="F30" s="60">
        <v>1104</v>
      </c>
      <c r="G30" s="60">
        <v>1842</v>
      </c>
      <c r="H30" s="60">
        <v>867</v>
      </c>
      <c r="I30" s="60">
        <v>709</v>
      </c>
      <c r="J30" s="60">
        <v>401</v>
      </c>
      <c r="K30" s="60">
        <v>232</v>
      </c>
      <c r="L30" s="60">
        <v>58</v>
      </c>
      <c r="M30" s="60">
        <v>24</v>
      </c>
      <c r="N30" s="60">
        <v>6</v>
      </c>
      <c r="O30" s="60">
        <v>6</v>
      </c>
      <c r="P30" s="61">
        <f t="shared" si="0"/>
        <v>15797</v>
      </c>
      <c r="R30" s="57"/>
    </row>
    <row r="31" spans="1:18" s="47" customFormat="1" ht="15" customHeight="1" x14ac:dyDescent="0.2">
      <c r="A31" s="53" t="s">
        <v>132</v>
      </c>
      <c r="B31" s="54" t="s">
        <v>133</v>
      </c>
      <c r="C31" s="55">
        <v>1881</v>
      </c>
      <c r="D31" s="55">
        <v>1855</v>
      </c>
      <c r="E31" s="55">
        <v>1154</v>
      </c>
      <c r="F31" s="55">
        <v>582</v>
      </c>
      <c r="G31" s="55">
        <v>741</v>
      </c>
      <c r="H31" s="55">
        <v>292</v>
      </c>
      <c r="I31" s="55">
        <v>298</v>
      </c>
      <c r="J31" s="55">
        <v>255</v>
      </c>
      <c r="K31" s="55">
        <v>195</v>
      </c>
      <c r="L31" s="55">
        <v>58</v>
      </c>
      <c r="M31" s="55">
        <v>24</v>
      </c>
      <c r="N31" s="55">
        <v>8</v>
      </c>
      <c r="O31" s="55">
        <v>19</v>
      </c>
      <c r="P31" s="56">
        <f t="shared" si="0"/>
        <v>7362</v>
      </c>
      <c r="R31" s="57"/>
    </row>
    <row r="32" spans="1:18" s="47" customFormat="1" ht="15" customHeight="1" x14ac:dyDescent="0.2">
      <c r="A32" s="58" t="s">
        <v>134</v>
      </c>
      <c r="B32" s="59" t="s">
        <v>135</v>
      </c>
      <c r="C32" s="60">
        <v>12720</v>
      </c>
      <c r="D32" s="60">
        <v>11956</v>
      </c>
      <c r="E32" s="60">
        <v>6593</v>
      </c>
      <c r="F32" s="60">
        <v>2872</v>
      </c>
      <c r="G32" s="60">
        <v>3551</v>
      </c>
      <c r="H32" s="60">
        <v>1289</v>
      </c>
      <c r="I32" s="60">
        <v>1013</v>
      </c>
      <c r="J32" s="60">
        <v>671</v>
      </c>
      <c r="K32" s="60">
        <v>413</v>
      </c>
      <c r="L32" s="60">
        <v>95</v>
      </c>
      <c r="M32" s="60">
        <v>24</v>
      </c>
      <c r="N32" s="60">
        <v>8</v>
      </c>
      <c r="O32" s="60">
        <v>8</v>
      </c>
      <c r="P32" s="61">
        <f t="shared" si="0"/>
        <v>41213</v>
      </c>
      <c r="R32" s="57"/>
    </row>
    <row r="33" spans="1:18" s="47" customFormat="1" ht="15" customHeight="1" x14ac:dyDescent="0.2">
      <c r="A33" s="53" t="s">
        <v>136</v>
      </c>
      <c r="B33" s="54" t="s">
        <v>137</v>
      </c>
      <c r="C33" s="55">
        <v>710</v>
      </c>
      <c r="D33" s="55">
        <v>776</v>
      </c>
      <c r="E33" s="55">
        <v>406</v>
      </c>
      <c r="F33" s="55">
        <v>233</v>
      </c>
      <c r="G33" s="55">
        <v>283</v>
      </c>
      <c r="H33" s="55">
        <v>125</v>
      </c>
      <c r="I33" s="55">
        <v>104</v>
      </c>
      <c r="J33" s="55">
        <v>100</v>
      </c>
      <c r="K33" s="55">
        <v>58</v>
      </c>
      <c r="L33" s="55">
        <v>17</v>
      </c>
      <c r="M33" s="55">
        <v>6</v>
      </c>
      <c r="N33" s="55">
        <v>2</v>
      </c>
      <c r="O33" s="55">
        <v>6</v>
      </c>
      <c r="P33" s="56">
        <f t="shared" si="0"/>
        <v>2826</v>
      </c>
      <c r="R33" s="57"/>
    </row>
    <row r="34" spans="1:18" s="47" customFormat="1" ht="15" customHeight="1" x14ac:dyDescent="0.2">
      <c r="A34" s="58" t="s">
        <v>138</v>
      </c>
      <c r="B34" s="59" t="s">
        <v>139</v>
      </c>
      <c r="C34" s="60">
        <v>2345</v>
      </c>
      <c r="D34" s="60">
        <v>2320</v>
      </c>
      <c r="E34" s="60">
        <v>1339</v>
      </c>
      <c r="F34" s="60">
        <v>679</v>
      </c>
      <c r="G34" s="60">
        <v>868</v>
      </c>
      <c r="H34" s="60">
        <v>374</v>
      </c>
      <c r="I34" s="60">
        <v>315</v>
      </c>
      <c r="J34" s="60">
        <v>254</v>
      </c>
      <c r="K34" s="60">
        <v>210</v>
      </c>
      <c r="L34" s="60">
        <v>63</v>
      </c>
      <c r="M34" s="60">
        <v>31</v>
      </c>
      <c r="N34" s="60">
        <v>5</v>
      </c>
      <c r="O34" s="60">
        <v>20</v>
      </c>
      <c r="P34" s="61">
        <f t="shared" si="0"/>
        <v>8823</v>
      </c>
      <c r="R34" s="57"/>
    </row>
    <row r="35" spans="1:18" s="47" customFormat="1" ht="15" customHeight="1" x14ac:dyDescent="0.2">
      <c r="A35" s="53" t="s">
        <v>140</v>
      </c>
      <c r="B35" s="54" t="s">
        <v>141</v>
      </c>
      <c r="C35" s="55">
        <v>4242</v>
      </c>
      <c r="D35" s="55">
        <v>4615</v>
      </c>
      <c r="E35" s="55">
        <v>3133</v>
      </c>
      <c r="F35" s="55">
        <v>1590</v>
      </c>
      <c r="G35" s="55">
        <v>2148</v>
      </c>
      <c r="H35" s="55">
        <v>823</v>
      </c>
      <c r="I35" s="55">
        <v>665</v>
      </c>
      <c r="J35" s="55">
        <v>447</v>
      </c>
      <c r="K35" s="55">
        <v>236</v>
      </c>
      <c r="L35" s="55">
        <v>40</v>
      </c>
      <c r="M35" s="55">
        <v>5</v>
      </c>
      <c r="N35" s="55">
        <v>2</v>
      </c>
      <c r="O35" s="55">
        <v>8</v>
      </c>
      <c r="P35" s="56">
        <f t="shared" si="0"/>
        <v>17954</v>
      </c>
      <c r="R35" s="57"/>
    </row>
    <row r="36" spans="1:18" s="47" customFormat="1" ht="15" customHeight="1" x14ac:dyDescent="0.2">
      <c r="A36" s="58" t="s">
        <v>142</v>
      </c>
      <c r="B36" s="59" t="s">
        <v>143</v>
      </c>
      <c r="C36" s="60">
        <v>1277</v>
      </c>
      <c r="D36" s="60">
        <v>1360</v>
      </c>
      <c r="E36" s="60">
        <v>830</v>
      </c>
      <c r="F36" s="60">
        <v>377</v>
      </c>
      <c r="G36" s="60">
        <v>631</v>
      </c>
      <c r="H36" s="60">
        <v>250</v>
      </c>
      <c r="I36" s="60">
        <v>287</v>
      </c>
      <c r="J36" s="60">
        <v>298</v>
      </c>
      <c r="K36" s="60">
        <v>249</v>
      </c>
      <c r="L36" s="60">
        <v>96</v>
      </c>
      <c r="M36" s="60">
        <v>46</v>
      </c>
      <c r="N36" s="60">
        <v>14</v>
      </c>
      <c r="O36" s="60">
        <v>32</v>
      </c>
      <c r="P36" s="61">
        <f t="shared" si="0"/>
        <v>5747</v>
      </c>
      <c r="R36" s="57"/>
    </row>
    <row r="37" spans="1:18" s="47" customFormat="1" ht="15" customHeight="1" x14ac:dyDescent="0.2">
      <c r="A37" s="53" t="s">
        <v>144</v>
      </c>
      <c r="B37" s="54" t="s">
        <v>145</v>
      </c>
      <c r="C37" s="55">
        <v>477</v>
      </c>
      <c r="D37" s="55">
        <v>518</v>
      </c>
      <c r="E37" s="55">
        <v>324</v>
      </c>
      <c r="F37" s="55">
        <v>152</v>
      </c>
      <c r="G37" s="55">
        <v>269</v>
      </c>
      <c r="H37" s="55">
        <v>106</v>
      </c>
      <c r="I37" s="55">
        <v>109</v>
      </c>
      <c r="J37" s="55">
        <v>85</v>
      </c>
      <c r="K37" s="55">
        <v>70</v>
      </c>
      <c r="L37" s="55">
        <v>24</v>
      </c>
      <c r="M37" s="55">
        <v>14</v>
      </c>
      <c r="N37" s="55">
        <v>6</v>
      </c>
      <c r="O37" s="55">
        <v>14</v>
      </c>
      <c r="P37" s="56">
        <f t="shared" si="0"/>
        <v>2168</v>
      </c>
      <c r="R37" s="57"/>
    </row>
    <row r="38" spans="1:18" s="47" customFormat="1" ht="15" customHeight="1" x14ac:dyDescent="0.2">
      <c r="A38" s="58" t="s">
        <v>146</v>
      </c>
      <c r="B38" s="59" t="s">
        <v>147</v>
      </c>
      <c r="C38" s="60">
        <v>10318</v>
      </c>
      <c r="D38" s="60">
        <v>8636</v>
      </c>
      <c r="E38" s="60">
        <v>3856</v>
      </c>
      <c r="F38" s="60">
        <v>1507</v>
      </c>
      <c r="G38" s="60">
        <v>1861</v>
      </c>
      <c r="H38" s="60">
        <v>657</v>
      </c>
      <c r="I38" s="60">
        <v>546</v>
      </c>
      <c r="J38" s="60">
        <v>286</v>
      </c>
      <c r="K38" s="60">
        <v>112</v>
      </c>
      <c r="L38" s="60">
        <v>18</v>
      </c>
      <c r="M38" s="60">
        <v>8</v>
      </c>
      <c r="N38" s="60">
        <v>2</v>
      </c>
      <c r="O38" s="60">
        <v>3</v>
      </c>
      <c r="P38" s="61">
        <f t="shared" si="0"/>
        <v>27810</v>
      </c>
      <c r="R38" s="57"/>
    </row>
    <row r="39" spans="1:18" s="47" customFormat="1" ht="15" customHeight="1" x14ac:dyDescent="0.2">
      <c r="A39" s="53" t="s">
        <v>148</v>
      </c>
      <c r="B39" s="54" t="s">
        <v>149</v>
      </c>
      <c r="C39" s="55">
        <v>2699</v>
      </c>
      <c r="D39" s="55">
        <v>2980</v>
      </c>
      <c r="E39" s="55">
        <v>1905</v>
      </c>
      <c r="F39" s="55">
        <v>838</v>
      </c>
      <c r="G39" s="55">
        <v>1009</v>
      </c>
      <c r="H39" s="55">
        <v>335</v>
      </c>
      <c r="I39" s="55">
        <v>252</v>
      </c>
      <c r="J39" s="55">
        <v>124</v>
      </c>
      <c r="K39" s="55">
        <v>71</v>
      </c>
      <c r="L39" s="55">
        <v>10</v>
      </c>
      <c r="M39" s="55">
        <v>2</v>
      </c>
      <c r="N39" s="55">
        <v>2</v>
      </c>
      <c r="O39" s="55">
        <v>1</v>
      </c>
      <c r="P39" s="56">
        <f t="shared" si="0"/>
        <v>10228</v>
      </c>
      <c r="R39" s="57"/>
    </row>
    <row r="40" spans="1:18" s="47" customFormat="1" ht="15" customHeight="1" x14ac:dyDescent="0.2">
      <c r="A40" s="58" t="s">
        <v>150</v>
      </c>
      <c r="B40" s="59" t="s">
        <v>151</v>
      </c>
      <c r="C40" s="60">
        <v>7732</v>
      </c>
      <c r="D40" s="60">
        <v>7247</v>
      </c>
      <c r="E40" s="60">
        <v>3785</v>
      </c>
      <c r="F40" s="60">
        <v>1471</v>
      </c>
      <c r="G40" s="60">
        <v>1589</v>
      </c>
      <c r="H40" s="60">
        <v>515</v>
      </c>
      <c r="I40" s="60">
        <v>349</v>
      </c>
      <c r="J40" s="60">
        <v>215</v>
      </c>
      <c r="K40" s="60">
        <v>75</v>
      </c>
      <c r="L40" s="60">
        <v>12</v>
      </c>
      <c r="M40" s="60">
        <v>6</v>
      </c>
      <c r="N40" s="60">
        <v>3</v>
      </c>
      <c r="O40" s="60">
        <v>11</v>
      </c>
      <c r="P40" s="61">
        <f t="shared" si="0"/>
        <v>23010</v>
      </c>
      <c r="R40" s="57"/>
    </row>
    <row r="41" spans="1:18" s="62" customFormat="1" ht="15" customHeight="1" x14ac:dyDescent="0.25">
      <c r="A41" s="53" t="s">
        <v>152</v>
      </c>
      <c r="B41" s="54" t="s">
        <v>153</v>
      </c>
      <c r="C41" s="55">
        <v>3873</v>
      </c>
      <c r="D41" s="55">
        <v>2023</v>
      </c>
      <c r="E41" s="55">
        <v>1200</v>
      </c>
      <c r="F41" s="55">
        <v>636</v>
      </c>
      <c r="G41" s="55">
        <v>848</v>
      </c>
      <c r="H41" s="55">
        <v>300</v>
      </c>
      <c r="I41" s="55">
        <v>242</v>
      </c>
      <c r="J41" s="55">
        <v>228</v>
      </c>
      <c r="K41" s="55">
        <v>107</v>
      </c>
      <c r="L41" s="55">
        <v>37</v>
      </c>
      <c r="M41" s="55">
        <v>22</v>
      </c>
      <c r="N41" s="55">
        <v>7</v>
      </c>
      <c r="O41" s="55">
        <v>6</v>
      </c>
      <c r="P41" s="56">
        <f t="shared" si="0"/>
        <v>9529</v>
      </c>
      <c r="R41" s="57"/>
    </row>
    <row r="42" spans="1:18" s="47" customFormat="1" ht="15" customHeight="1" x14ac:dyDescent="0.2">
      <c r="A42" s="58" t="s">
        <v>154</v>
      </c>
      <c r="B42" s="59" t="s">
        <v>155</v>
      </c>
      <c r="C42" s="60">
        <v>164</v>
      </c>
      <c r="D42" s="60">
        <v>126</v>
      </c>
      <c r="E42" s="60">
        <v>87</v>
      </c>
      <c r="F42" s="60">
        <v>43</v>
      </c>
      <c r="G42" s="60">
        <v>72</v>
      </c>
      <c r="H42" s="60">
        <v>17</v>
      </c>
      <c r="I42" s="60">
        <v>20</v>
      </c>
      <c r="J42" s="60">
        <v>17</v>
      </c>
      <c r="K42" s="60">
        <v>8</v>
      </c>
      <c r="L42" s="60">
        <v>3</v>
      </c>
      <c r="M42" s="60">
        <v>2</v>
      </c>
      <c r="N42" s="60">
        <v>2</v>
      </c>
      <c r="O42" s="60">
        <v>0</v>
      </c>
      <c r="P42" s="61">
        <f t="shared" si="0"/>
        <v>561</v>
      </c>
      <c r="R42" s="57"/>
    </row>
    <row r="43" spans="1:18" s="62" customFormat="1" ht="15" customHeight="1" x14ac:dyDescent="0.25">
      <c r="A43" s="53" t="s">
        <v>156</v>
      </c>
      <c r="B43" s="54" t="s">
        <v>157</v>
      </c>
      <c r="C43" s="55">
        <v>148</v>
      </c>
      <c r="D43" s="55">
        <v>115</v>
      </c>
      <c r="E43" s="55">
        <v>103</v>
      </c>
      <c r="F43" s="55">
        <v>53</v>
      </c>
      <c r="G43" s="55">
        <v>62</v>
      </c>
      <c r="H43" s="55">
        <v>19</v>
      </c>
      <c r="I43" s="55">
        <v>24</v>
      </c>
      <c r="J43" s="55">
        <v>31</v>
      </c>
      <c r="K43" s="55">
        <v>23</v>
      </c>
      <c r="L43" s="55">
        <v>14</v>
      </c>
      <c r="M43" s="55">
        <v>3</v>
      </c>
      <c r="N43" s="55">
        <v>3</v>
      </c>
      <c r="O43" s="55">
        <v>4</v>
      </c>
      <c r="P43" s="56">
        <f t="shared" si="0"/>
        <v>602</v>
      </c>
      <c r="R43" s="57"/>
    </row>
    <row r="44" spans="1:18" s="47" customFormat="1" ht="15" customHeight="1" x14ac:dyDescent="0.2">
      <c r="A44" s="58" t="s">
        <v>158</v>
      </c>
      <c r="B44" s="59" t="s">
        <v>159</v>
      </c>
      <c r="C44" s="60">
        <v>1221</v>
      </c>
      <c r="D44" s="60">
        <v>1281</v>
      </c>
      <c r="E44" s="60">
        <v>833</v>
      </c>
      <c r="F44" s="60">
        <v>427</v>
      </c>
      <c r="G44" s="60">
        <v>551</v>
      </c>
      <c r="H44" s="60">
        <v>176</v>
      </c>
      <c r="I44" s="60">
        <v>156</v>
      </c>
      <c r="J44" s="60">
        <v>116</v>
      </c>
      <c r="K44" s="60">
        <v>84</v>
      </c>
      <c r="L44" s="60">
        <v>45</v>
      </c>
      <c r="M44" s="60">
        <v>21</v>
      </c>
      <c r="N44" s="60">
        <v>5</v>
      </c>
      <c r="O44" s="60">
        <v>3</v>
      </c>
      <c r="P44" s="61">
        <f t="shared" si="0"/>
        <v>4919</v>
      </c>
      <c r="R44" s="57"/>
    </row>
    <row r="45" spans="1:18" s="47" customFormat="1" ht="15" customHeight="1" x14ac:dyDescent="0.2">
      <c r="A45" s="53" t="s">
        <v>160</v>
      </c>
      <c r="B45" s="54" t="s">
        <v>161</v>
      </c>
      <c r="C45" s="55">
        <v>26</v>
      </c>
      <c r="D45" s="55">
        <v>23</v>
      </c>
      <c r="E45" s="55">
        <v>29</v>
      </c>
      <c r="F45" s="55">
        <v>9</v>
      </c>
      <c r="G45" s="55">
        <v>6</v>
      </c>
      <c r="H45" s="55">
        <v>6</v>
      </c>
      <c r="I45" s="55">
        <v>3</v>
      </c>
      <c r="J45" s="55">
        <v>10</v>
      </c>
      <c r="K45" s="55">
        <v>14</v>
      </c>
      <c r="L45" s="55">
        <v>2</v>
      </c>
      <c r="M45" s="55">
        <v>1</v>
      </c>
      <c r="N45" s="55">
        <v>1</v>
      </c>
      <c r="O45" s="55">
        <v>3</v>
      </c>
      <c r="P45" s="56">
        <f t="shared" si="0"/>
        <v>133</v>
      </c>
      <c r="R45" s="57"/>
    </row>
    <row r="46" spans="1:18" s="62" customFormat="1" ht="15" customHeight="1" x14ac:dyDescent="0.25">
      <c r="A46" s="58" t="s">
        <v>162</v>
      </c>
      <c r="B46" s="59" t="s">
        <v>163</v>
      </c>
      <c r="C46" s="60">
        <v>45107</v>
      </c>
      <c r="D46" s="60">
        <v>38064</v>
      </c>
      <c r="E46" s="60">
        <v>25600</v>
      </c>
      <c r="F46" s="60">
        <v>13128</v>
      </c>
      <c r="G46" s="60">
        <v>16502</v>
      </c>
      <c r="H46" s="60">
        <v>5066</v>
      </c>
      <c r="I46" s="60">
        <v>3409</v>
      </c>
      <c r="J46" s="60">
        <v>1921</v>
      </c>
      <c r="K46" s="60">
        <v>925</v>
      </c>
      <c r="L46" s="60">
        <v>285</v>
      </c>
      <c r="M46" s="60">
        <v>112</v>
      </c>
      <c r="N46" s="60">
        <v>35</v>
      </c>
      <c r="O46" s="60">
        <v>51</v>
      </c>
      <c r="P46" s="61">
        <f t="shared" si="0"/>
        <v>150205</v>
      </c>
      <c r="R46" s="57"/>
    </row>
    <row r="47" spans="1:18" s="47" customFormat="1" ht="15" customHeight="1" x14ac:dyDescent="0.2">
      <c r="A47" s="53" t="s">
        <v>164</v>
      </c>
      <c r="B47" s="54" t="s">
        <v>165</v>
      </c>
      <c r="C47" s="55">
        <v>2450</v>
      </c>
      <c r="D47" s="55">
        <v>2565</v>
      </c>
      <c r="E47" s="55">
        <v>1878</v>
      </c>
      <c r="F47" s="55">
        <v>1036</v>
      </c>
      <c r="G47" s="55">
        <v>1701</v>
      </c>
      <c r="H47" s="55">
        <v>744</v>
      </c>
      <c r="I47" s="55">
        <v>806</v>
      </c>
      <c r="J47" s="55">
        <v>730</v>
      </c>
      <c r="K47" s="55">
        <v>346</v>
      </c>
      <c r="L47" s="55">
        <v>67</v>
      </c>
      <c r="M47" s="55">
        <v>21</v>
      </c>
      <c r="N47" s="55">
        <v>13</v>
      </c>
      <c r="O47" s="55">
        <v>21</v>
      </c>
      <c r="P47" s="56">
        <f t="shared" si="0"/>
        <v>12378</v>
      </c>
      <c r="R47" s="57"/>
    </row>
    <row r="48" spans="1:18" s="62" customFormat="1" ht="15" customHeight="1" x14ac:dyDescent="0.25">
      <c r="A48" s="58" t="s">
        <v>166</v>
      </c>
      <c r="B48" s="59" t="s">
        <v>167</v>
      </c>
      <c r="C48" s="60">
        <v>24552</v>
      </c>
      <c r="D48" s="60">
        <v>21206</v>
      </c>
      <c r="E48" s="60">
        <v>11081</v>
      </c>
      <c r="F48" s="60">
        <v>4120</v>
      </c>
      <c r="G48" s="60">
        <v>3947</v>
      </c>
      <c r="H48" s="60">
        <v>988</v>
      </c>
      <c r="I48" s="60">
        <v>614</v>
      </c>
      <c r="J48" s="60">
        <v>324</v>
      </c>
      <c r="K48" s="60">
        <v>108</v>
      </c>
      <c r="L48" s="60">
        <v>24</v>
      </c>
      <c r="M48" s="60">
        <v>1</v>
      </c>
      <c r="N48" s="60">
        <v>2</v>
      </c>
      <c r="O48" s="60">
        <v>0</v>
      </c>
      <c r="P48" s="61">
        <f t="shared" si="0"/>
        <v>66967</v>
      </c>
      <c r="R48" s="57"/>
    </row>
    <row r="49" spans="1:18" s="47" customFormat="1" ht="15" customHeight="1" x14ac:dyDescent="0.2">
      <c r="A49" s="53" t="s">
        <v>168</v>
      </c>
      <c r="B49" s="54" t="s">
        <v>169</v>
      </c>
      <c r="C49" s="55">
        <v>41603</v>
      </c>
      <c r="D49" s="55">
        <v>27848</v>
      </c>
      <c r="E49" s="55">
        <v>9603</v>
      </c>
      <c r="F49" s="55">
        <v>2753</v>
      </c>
      <c r="G49" s="55">
        <v>2539</v>
      </c>
      <c r="H49" s="55">
        <v>687</v>
      </c>
      <c r="I49" s="55">
        <v>590</v>
      </c>
      <c r="J49" s="55">
        <v>253</v>
      </c>
      <c r="K49" s="55">
        <v>98</v>
      </c>
      <c r="L49" s="55">
        <v>18</v>
      </c>
      <c r="M49" s="55">
        <v>1</v>
      </c>
      <c r="N49" s="55">
        <v>1</v>
      </c>
      <c r="O49" s="55">
        <v>0</v>
      </c>
      <c r="P49" s="56">
        <f t="shared" si="0"/>
        <v>85994</v>
      </c>
      <c r="R49" s="57"/>
    </row>
    <row r="50" spans="1:18" s="47" customFormat="1" ht="15" customHeight="1" x14ac:dyDescent="0.2">
      <c r="A50" s="58" t="s">
        <v>170</v>
      </c>
      <c r="B50" s="59" t="s">
        <v>171</v>
      </c>
      <c r="C50" s="60">
        <v>59575</v>
      </c>
      <c r="D50" s="60">
        <v>54647</v>
      </c>
      <c r="E50" s="60">
        <v>28205</v>
      </c>
      <c r="F50" s="60">
        <v>10363</v>
      </c>
      <c r="G50" s="60">
        <v>10002</v>
      </c>
      <c r="H50" s="60">
        <v>2564</v>
      </c>
      <c r="I50" s="60">
        <v>1628</v>
      </c>
      <c r="J50" s="60">
        <v>771</v>
      </c>
      <c r="K50" s="60">
        <v>258</v>
      </c>
      <c r="L50" s="60">
        <v>39</v>
      </c>
      <c r="M50" s="60">
        <v>10</v>
      </c>
      <c r="N50" s="60">
        <v>1</v>
      </c>
      <c r="O50" s="60">
        <v>2</v>
      </c>
      <c r="P50" s="61">
        <f t="shared" si="0"/>
        <v>168065</v>
      </c>
      <c r="R50" s="57"/>
    </row>
    <row r="51" spans="1:18" s="47" customFormat="1" ht="15" customHeight="1" x14ac:dyDescent="0.2">
      <c r="A51" s="53" t="s">
        <v>172</v>
      </c>
      <c r="B51" s="54" t="s">
        <v>173</v>
      </c>
      <c r="C51" s="55">
        <v>142383</v>
      </c>
      <c r="D51" s="55">
        <v>117034</v>
      </c>
      <c r="E51" s="55">
        <v>82582</v>
      </c>
      <c r="F51" s="55">
        <v>22041</v>
      </c>
      <c r="G51" s="55">
        <v>17117</v>
      </c>
      <c r="H51" s="55">
        <v>4309</v>
      </c>
      <c r="I51" s="55">
        <v>2298</v>
      </c>
      <c r="J51" s="55">
        <v>856</v>
      </c>
      <c r="K51" s="55">
        <v>251</v>
      </c>
      <c r="L51" s="55">
        <v>48</v>
      </c>
      <c r="M51" s="55">
        <v>15</v>
      </c>
      <c r="N51" s="55">
        <v>6</v>
      </c>
      <c r="O51" s="55">
        <v>10</v>
      </c>
      <c r="P51" s="56">
        <f t="shared" si="0"/>
        <v>388950</v>
      </c>
      <c r="R51" s="57"/>
    </row>
    <row r="52" spans="1:18" s="62" customFormat="1" ht="15" customHeight="1" x14ac:dyDescent="0.25">
      <c r="A52" s="58" t="s">
        <v>174</v>
      </c>
      <c r="B52" s="59" t="s">
        <v>175</v>
      </c>
      <c r="C52" s="60">
        <v>99456</v>
      </c>
      <c r="D52" s="60">
        <v>52348</v>
      </c>
      <c r="E52" s="60">
        <v>15307</v>
      </c>
      <c r="F52" s="60">
        <v>5320</v>
      </c>
      <c r="G52" s="60">
        <v>6265</v>
      </c>
      <c r="H52" s="60">
        <v>1946</v>
      </c>
      <c r="I52" s="60">
        <v>1293</v>
      </c>
      <c r="J52" s="60">
        <v>646</v>
      </c>
      <c r="K52" s="60">
        <v>274</v>
      </c>
      <c r="L52" s="60">
        <v>34</v>
      </c>
      <c r="M52" s="60">
        <v>15</v>
      </c>
      <c r="N52" s="60">
        <v>7</v>
      </c>
      <c r="O52" s="60">
        <v>8</v>
      </c>
      <c r="P52" s="61">
        <f t="shared" si="0"/>
        <v>182919</v>
      </c>
      <c r="R52" s="57"/>
    </row>
    <row r="53" spans="1:18" s="47" customFormat="1" ht="15" customHeight="1" x14ac:dyDescent="0.2">
      <c r="A53" s="53" t="s">
        <v>176</v>
      </c>
      <c r="B53" s="54" t="s">
        <v>177</v>
      </c>
      <c r="C53" s="55">
        <v>1546</v>
      </c>
      <c r="D53" s="55">
        <v>1135</v>
      </c>
      <c r="E53" s="55">
        <v>437</v>
      </c>
      <c r="F53" s="55">
        <v>173</v>
      </c>
      <c r="G53" s="55">
        <v>209</v>
      </c>
      <c r="H53" s="55">
        <v>124</v>
      </c>
      <c r="I53" s="55">
        <v>42</v>
      </c>
      <c r="J53" s="55">
        <v>22</v>
      </c>
      <c r="K53" s="55">
        <v>6</v>
      </c>
      <c r="L53" s="55">
        <v>2</v>
      </c>
      <c r="M53" s="55">
        <v>1</v>
      </c>
      <c r="N53" s="55">
        <v>0</v>
      </c>
      <c r="O53" s="55">
        <v>0</v>
      </c>
      <c r="P53" s="56">
        <f t="shared" si="0"/>
        <v>3697</v>
      </c>
      <c r="R53" s="57"/>
    </row>
    <row r="54" spans="1:18" s="47" customFormat="1" ht="15" customHeight="1" x14ac:dyDescent="0.2">
      <c r="A54" s="58" t="s">
        <v>178</v>
      </c>
      <c r="B54" s="59" t="s">
        <v>179</v>
      </c>
      <c r="C54" s="60">
        <v>86</v>
      </c>
      <c r="D54" s="60">
        <v>98</v>
      </c>
      <c r="E54" s="60">
        <v>74</v>
      </c>
      <c r="F54" s="60">
        <v>42</v>
      </c>
      <c r="G54" s="60">
        <v>53</v>
      </c>
      <c r="H54" s="60">
        <v>18</v>
      </c>
      <c r="I54" s="60">
        <v>21</v>
      </c>
      <c r="J54" s="60">
        <v>20</v>
      </c>
      <c r="K54" s="60">
        <v>16</v>
      </c>
      <c r="L54" s="60">
        <v>7</v>
      </c>
      <c r="M54" s="60">
        <v>2</v>
      </c>
      <c r="N54" s="60">
        <v>2</v>
      </c>
      <c r="O54" s="60">
        <v>4</v>
      </c>
      <c r="P54" s="61">
        <f t="shared" si="0"/>
        <v>443</v>
      </c>
      <c r="R54" s="57"/>
    </row>
    <row r="55" spans="1:18" s="47" customFormat="1" ht="15" customHeight="1" x14ac:dyDescent="0.2">
      <c r="A55" s="53" t="s">
        <v>180</v>
      </c>
      <c r="B55" s="54" t="s">
        <v>181</v>
      </c>
      <c r="C55" s="55">
        <v>6482</v>
      </c>
      <c r="D55" s="55">
        <v>5442</v>
      </c>
      <c r="E55" s="55">
        <v>3530</v>
      </c>
      <c r="F55" s="55">
        <v>1820</v>
      </c>
      <c r="G55" s="55">
        <v>2328</v>
      </c>
      <c r="H55" s="55">
        <v>717</v>
      </c>
      <c r="I55" s="55">
        <v>591</v>
      </c>
      <c r="J55" s="55">
        <v>479</v>
      </c>
      <c r="K55" s="55">
        <v>335</v>
      </c>
      <c r="L55" s="55">
        <v>83</v>
      </c>
      <c r="M55" s="55">
        <v>20</v>
      </c>
      <c r="N55" s="55">
        <v>8</v>
      </c>
      <c r="O55" s="55">
        <v>20</v>
      </c>
      <c r="P55" s="56">
        <f t="shared" si="0"/>
        <v>21855</v>
      </c>
      <c r="R55" s="57"/>
    </row>
    <row r="56" spans="1:18" s="62" customFormat="1" ht="15" customHeight="1" x14ac:dyDescent="0.25">
      <c r="A56" s="58" t="s">
        <v>182</v>
      </c>
      <c r="B56" s="59" t="s">
        <v>183</v>
      </c>
      <c r="C56" s="60">
        <v>3884</v>
      </c>
      <c r="D56" s="60">
        <v>1747</v>
      </c>
      <c r="E56" s="60">
        <v>1225</v>
      </c>
      <c r="F56" s="60">
        <v>917</v>
      </c>
      <c r="G56" s="60">
        <v>1002</v>
      </c>
      <c r="H56" s="60">
        <v>194</v>
      </c>
      <c r="I56" s="60">
        <v>107</v>
      </c>
      <c r="J56" s="60">
        <v>109</v>
      </c>
      <c r="K56" s="60">
        <v>80</v>
      </c>
      <c r="L56" s="60">
        <v>13</v>
      </c>
      <c r="M56" s="60">
        <v>9</v>
      </c>
      <c r="N56" s="60">
        <v>1</v>
      </c>
      <c r="O56" s="60">
        <v>5</v>
      </c>
      <c r="P56" s="61">
        <f t="shared" si="0"/>
        <v>9293</v>
      </c>
      <c r="R56" s="57"/>
    </row>
    <row r="57" spans="1:18" s="47" customFormat="1" ht="15" customHeight="1" x14ac:dyDescent="0.2">
      <c r="A57" s="53" t="s">
        <v>184</v>
      </c>
      <c r="B57" s="54" t="s">
        <v>185</v>
      </c>
      <c r="C57" s="55">
        <v>6898</v>
      </c>
      <c r="D57" s="55">
        <v>6350</v>
      </c>
      <c r="E57" s="55">
        <v>4850</v>
      </c>
      <c r="F57" s="55">
        <v>2053</v>
      </c>
      <c r="G57" s="55">
        <v>2206</v>
      </c>
      <c r="H57" s="55">
        <v>749</v>
      </c>
      <c r="I57" s="55">
        <v>721</v>
      </c>
      <c r="J57" s="55">
        <v>597</v>
      </c>
      <c r="K57" s="55">
        <v>400</v>
      </c>
      <c r="L57" s="55">
        <v>134</v>
      </c>
      <c r="M57" s="55">
        <v>30</v>
      </c>
      <c r="N57" s="55">
        <v>9</v>
      </c>
      <c r="O57" s="55">
        <v>3</v>
      </c>
      <c r="P57" s="56">
        <f t="shared" si="0"/>
        <v>25000</v>
      </c>
      <c r="R57" s="57"/>
    </row>
    <row r="58" spans="1:18" s="47" customFormat="1" ht="15" customHeight="1" x14ac:dyDescent="0.2">
      <c r="A58" s="58" t="s">
        <v>186</v>
      </c>
      <c r="B58" s="59" t="s">
        <v>187</v>
      </c>
      <c r="C58" s="60">
        <v>48369</v>
      </c>
      <c r="D58" s="60">
        <v>41921</v>
      </c>
      <c r="E58" s="60">
        <v>24294</v>
      </c>
      <c r="F58" s="60">
        <v>11544</v>
      </c>
      <c r="G58" s="60">
        <v>14740</v>
      </c>
      <c r="H58" s="60">
        <v>3969</v>
      </c>
      <c r="I58" s="60">
        <v>2384</v>
      </c>
      <c r="J58" s="60">
        <v>976</v>
      </c>
      <c r="K58" s="60">
        <v>228</v>
      </c>
      <c r="L58" s="60">
        <v>43</v>
      </c>
      <c r="M58" s="60">
        <v>12</v>
      </c>
      <c r="N58" s="60">
        <v>1</v>
      </c>
      <c r="O58" s="60">
        <v>3</v>
      </c>
      <c r="P58" s="61">
        <f t="shared" si="0"/>
        <v>148484</v>
      </c>
      <c r="R58" s="57"/>
    </row>
    <row r="59" spans="1:18" s="47" customFormat="1" ht="15" customHeight="1" x14ac:dyDescent="0.2">
      <c r="A59" s="53" t="s">
        <v>188</v>
      </c>
      <c r="B59" s="54" t="s">
        <v>189</v>
      </c>
      <c r="C59" s="55">
        <v>825</v>
      </c>
      <c r="D59" s="55">
        <v>799</v>
      </c>
      <c r="E59" s="55">
        <v>567</v>
      </c>
      <c r="F59" s="55">
        <v>247</v>
      </c>
      <c r="G59" s="55">
        <v>353</v>
      </c>
      <c r="H59" s="55">
        <v>130</v>
      </c>
      <c r="I59" s="55">
        <v>84</v>
      </c>
      <c r="J59" s="55">
        <v>51</v>
      </c>
      <c r="K59" s="55">
        <v>16</v>
      </c>
      <c r="L59" s="55">
        <v>0</v>
      </c>
      <c r="M59" s="55">
        <v>2</v>
      </c>
      <c r="N59" s="55">
        <v>1</v>
      </c>
      <c r="O59" s="55">
        <v>0</v>
      </c>
      <c r="P59" s="56">
        <f t="shared" si="0"/>
        <v>3075</v>
      </c>
      <c r="R59" s="57"/>
    </row>
    <row r="60" spans="1:18" s="47" customFormat="1" ht="15" customHeight="1" x14ac:dyDescent="0.2">
      <c r="A60" s="58" t="s">
        <v>190</v>
      </c>
      <c r="B60" s="59" t="s">
        <v>191</v>
      </c>
      <c r="C60" s="60">
        <v>1043</v>
      </c>
      <c r="D60" s="60">
        <v>786</v>
      </c>
      <c r="E60" s="60">
        <v>442</v>
      </c>
      <c r="F60" s="60">
        <v>185</v>
      </c>
      <c r="G60" s="60">
        <v>257</v>
      </c>
      <c r="H60" s="60">
        <v>78</v>
      </c>
      <c r="I60" s="60">
        <v>33</v>
      </c>
      <c r="J60" s="60">
        <v>28</v>
      </c>
      <c r="K60" s="60">
        <v>22</v>
      </c>
      <c r="L60" s="60">
        <v>3</v>
      </c>
      <c r="M60" s="60">
        <v>1</v>
      </c>
      <c r="N60" s="60">
        <v>0</v>
      </c>
      <c r="O60" s="60">
        <v>1</v>
      </c>
      <c r="P60" s="61">
        <f t="shared" si="0"/>
        <v>2879</v>
      </c>
      <c r="R60" s="57"/>
    </row>
    <row r="61" spans="1:18" s="47" customFormat="1" ht="15" customHeight="1" x14ac:dyDescent="0.2">
      <c r="A61" s="53" t="s">
        <v>192</v>
      </c>
      <c r="B61" s="54" t="s">
        <v>193</v>
      </c>
      <c r="C61" s="55">
        <v>218</v>
      </c>
      <c r="D61" s="55">
        <v>184</v>
      </c>
      <c r="E61" s="55">
        <v>75</v>
      </c>
      <c r="F61" s="55">
        <v>38</v>
      </c>
      <c r="G61" s="55">
        <v>75</v>
      </c>
      <c r="H61" s="55">
        <v>32</v>
      </c>
      <c r="I61" s="55">
        <v>24</v>
      </c>
      <c r="J61" s="55">
        <v>22</v>
      </c>
      <c r="K61" s="55">
        <v>18</v>
      </c>
      <c r="L61" s="55">
        <v>5</v>
      </c>
      <c r="M61" s="55">
        <v>0</v>
      </c>
      <c r="N61" s="55">
        <v>1</v>
      </c>
      <c r="O61" s="55">
        <v>0</v>
      </c>
      <c r="P61" s="56">
        <f t="shared" si="0"/>
        <v>692</v>
      </c>
      <c r="R61" s="57"/>
    </row>
    <row r="62" spans="1:18" s="47" customFormat="1" ht="15" customHeight="1" x14ac:dyDescent="0.2">
      <c r="A62" s="58" t="s">
        <v>194</v>
      </c>
      <c r="B62" s="59" t="s">
        <v>195</v>
      </c>
      <c r="C62" s="60">
        <v>896</v>
      </c>
      <c r="D62" s="60">
        <v>791</v>
      </c>
      <c r="E62" s="60">
        <v>421</v>
      </c>
      <c r="F62" s="60">
        <v>177</v>
      </c>
      <c r="G62" s="60">
        <v>189</v>
      </c>
      <c r="H62" s="60">
        <v>59</v>
      </c>
      <c r="I62" s="60">
        <v>45</v>
      </c>
      <c r="J62" s="60">
        <v>44</v>
      </c>
      <c r="K62" s="60">
        <v>26</v>
      </c>
      <c r="L62" s="60">
        <v>7</v>
      </c>
      <c r="M62" s="60">
        <v>2</v>
      </c>
      <c r="N62" s="60">
        <v>1</v>
      </c>
      <c r="O62" s="60">
        <v>2</v>
      </c>
      <c r="P62" s="61">
        <f t="shared" si="0"/>
        <v>2660</v>
      </c>
      <c r="R62" s="57"/>
    </row>
    <row r="63" spans="1:18" s="47" customFormat="1" ht="15" customHeight="1" x14ac:dyDescent="0.2">
      <c r="A63" s="53" t="s">
        <v>196</v>
      </c>
      <c r="B63" s="54" t="s">
        <v>197</v>
      </c>
      <c r="C63" s="55">
        <v>6080</v>
      </c>
      <c r="D63" s="55">
        <v>4892</v>
      </c>
      <c r="E63" s="55">
        <v>2990</v>
      </c>
      <c r="F63" s="55">
        <v>1356</v>
      </c>
      <c r="G63" s="55">
        <v>1767</v>
      </c>
      <c r="H63" s="55">
        <v>591</v>
      </c>
      <c r="I63" s="55">
        <v>469</v>
      </c>
      <c r="J63" s="55">
        <v>280</v>
      </c>
      <c r="K63" s="55">
        <v>174</v>
      </c>
      <c r="L63" s="55">
        <v>40</v>
      </c>
      <c r="M63" s="55">
        <v>14</v>
      </c>
      <c r="N63" s="55">
        <v>5</v>
      </c>
      <c r="O63" s="55">
        <v>5</v>
      </c>
      <c r="P63" s="56">
        <f t="shared" si="0"/>
        <v>18663</v>
      </c>
      <c r="R63" s="57"/>
    </row>
    <row r="64" spans="1:18" s="47" customFormat="1" ht="15" customHeight="1" x14ac:dyDescent="0.2">
      <c r="A64" s="58" t="s">
        <v>198</v>
      </c>
      <c r="B64" s="59" t="s">
        <v>199</v>
      </c>
      <c r="C64" s="60">
        <v>583</v>
      </c>
      <c r="D64" s="60">
        <v>471</v>
      </c>
      <c r="E64" s="60">
        <v>270</v>
      </c>
      <c r="F64" s="60">
        <v>113</v>
      </c>
      <c r="G64" s="60">
        <v>164</v>
      </c>
      <c r="H64" s="60">
        <v>58</v>
      </c>
      <c r="I64" s="60">
        <v>45</v>
      </c>
      <c r="J64" s="60">
        <v>22</v>
      </c>
      <c r="K64" s="60">
        <v>32</v>
      </c>
      <c r="L64" s="60">
        <v>7</v>
      </c>
      <c r="M64" s="60">
        <v>2</v>
      </c>
      <c r="N64" s="60">
        <v>2</v>
      </c>
      <c r="O64" s="60">
        <v>1</v>
      </c>
      <c r="P64" s="61">
        <f t="shared" si="0"/>
        <v>1770</v>
      </c>
      <c r="R64" s="57"/>
    </row>
    <row r="65" spans="1:18" s="47" customFormat="1" ht="15" customHeight="1" x14ac:dyDescent="0.2">
      <c r="A65" s="53" t="s">
        <v>200</v>
      </c>
      <c r="B65" s="54" t="s">
        <v>201</v>
      </c>
      <c r="C65" s="55">
        <v>666</v>
      </c>
      <c r="D65" s="55">
        <v>1618</v>
      </c>
      <c r="E65" s="55">
        <v>1623</v>
      </c>
      <c r="F65" s="55">
        <v>1372</v>
      </c>
      <c r="G65" s="55">
        <v>1074</v>
      </c>
      <c r="H65" s="55">
        <v>130</v>
      </c>
      <c r="I65" s="55">
        <v>97</v>
      </c>
      <c r="J65" s="55">
        <v>81</v>
      </c>
      <c r="K65" s="55">
        <v>41</v>
      </c>
      <c r="L65" s="55">
        <v>17</v>
      </c>
      <c r="M65" s="55">
        <v>7</v>
      </c>
      <c r="N65" s="55">
        <v>4</v>
      </c>
      <c r="O65" s="55">
        <v>9</v>
      </c>
      <c r="P65" s="56">
        <f t="shared" si="0"/>
        <v>6739</v>
      </c>
      <c r="R65" s="57"/>
    </row>
    <row r="66" spans="1:18" s="47" customFormat="1" ht="15" customHeight="1" x14ac:dyDescent="0.2">
      <c r="A66" s="58" t="s">
        <v>202</v>
      </c>
      <c r="B66" s="59" t="s">
        <v>203</v>
      </c>
      <c r="C66" s="60">
        <v>1027</v>
      </c>
      <c r="D66" s="60">
        <v>1197</v>
      </c>
      <c r="E66" s="60">
        <v>604</v>
      </c>
      <c r="F66" s="60">
        <v>178</v>
      </c>
      <c r="G66" s="60">
        <v>130</v>
      </c>
      <c r="H66" s="60">
        <v>37</v>
      </c>
      <c r="I66" s="60">
        <v>57</v>
      </c>
      <c r="J66" s="60">
        <v>33</v>
      </c>
      <c r="K66" s="60">
        <v>27</v>
      </c>
      <c r="L66" s="60">
        <v>8</v>
      </c>
      <c r="M66" s="60">
        <v>6</v>
      </c>
      <c r="N66" s="60">
        <v>1</v>
      </c>
      <c r="O66" s="60">
        <v>2</v>
      </c>
      <c r="P66" s="61">
        <f t="shared" si="0"/>
        <v>3307</v>
      </c>
      <c r="R66" s="57"/>
    </row>
    <row r="67" spans="1:18" s="47" customFormat="1" ht="15" customHeight="1" x14ac:dyDescent="0.2">
      <c r="A67" s="53" t="s">
        <v>204</v>
      </c>
      <c r="B67" s="54" t="s">
        <v>205</v>
      </c>
      <c r="C67" s="55">
        <v>5970</v>
      </c>
      <c r="D67" s="55">
        <v>5667</v>
      </c>
      <c r="E67" s="55">
        <v>2742</v>
      </c>
      <c r="F67" s="55">
        <v>840</v>
      </c>
      <c r="G67" s="55">
        <v>622</v>
      </c>
      <c r="H67" s="55">
        <v>121</v>
      </c>
      <c r="I67" s="55">
        <v>97</v>
      </c>
      <c r="J67" s="55">
        <v>74</v>
      </c>
      <c r="K67" s="55">
        <v>46</v>
      </c>
      <c r="L67" s="55">
        <v>7</v>
      </c>
      <c r="M67" s="55">
        <v>3</v>
      </c>
      <c r="N67" s="55">
        <v>0</v>
      </c>
      <c r="O67" s="55">
        <v>0</v>
      </c>
      <c r="P67" s="56">
        <f t="shared" si="0"/>
        <v>16189</v>
      </c>
      <c r="R67" s="57"/>
    </row>
    <row r="68" spans="1:18" s="47" customFormat="1" ht="15" customHeight="1" x14ac:dyDescent="0.2">
      <c r="A68" s="58" t="s">
        <v>206</v>
      </c>
      <c r="B68" s="59" t="s">
        <v>207</v>
      </c>
      <c r="C68" s="60">
        <v>45966</v>
      </c>
      <c r="D68" s="60">
        <v>13127</v>
      </c>
      <c r="E68" s="60">
        <v>4797</v>
      </c>
      <c r="F68" s="60">
        <v>1581</v>
      </c>
      <c r="G68" s="60">
        <v>1548</v>
      </c>
      <c r="H68" s="60">
        <v>285</v>
      </c>
      <c r="I68" s="60">
        <v>194</v>
      </c>
      <c r="J68" s="60">
        <v>70</v>
      </c>
      <c r="K68" s="60">
        <v>26</v>
      </c>
      <c r="L68" s="60">
        <v>3</v>
      </c>
      <c r="M68" s="60">
        <v>0</v>
      </c>
      <c r="N68" s="60">
        <v>0</v>
      </c>
      <c r="O68" s="60">
        <v>0</v>
      </c>
      <c r="P68" s="61">
        <f t="shared" si="0"/>
        <v>67597</v>
      </c>
      <c r="R68" s="57"/>
    </row>
    <row r="69" spans="1:18" s="47" customFormat="1" ht="15" customHeight="1" x14ac:dyDescent="0.2">
      <c r="A69" s="53" t="s">
        <v>208</v>
      </c>
      <c r="B69" s="54" t="s">
        <v>209</v>
      </c>
      <c r="C69" s="55">
        <v>24172</v>
      </c>
      <c r="D69" s="55">
        <v>21269</v>
      </c>
      <c r="E69" s="55">
        <v>8311</v>
      </c>
      <c r="F69" s="55">
        <v>1824</v>
      </c>
      <c r="G69" s="55">
        <v>1002</v>
      </c>
      <c r="H69" s="55">
        <v>187</v>
      </c>
      <c r="I69" s="55">
        <v>99</v>
      </c>
      <c r="J69" s="55">
        <v>48</v>
      </c>
      <c r="K69" s="55">
        <v>22</v>
      </c>
      <c r="L69" s="55">
        <v>4</v>
      </c>
      <c r="M69" s="55">
        <v>1</v>
      </c>
      <c r="N69" s="55">
        <v>1</v>
      </c>
      <c r="O69" s="55">
        <v>1</v>
      </c>
      <c r="P69" s="56">
        <f t="shared" si="0"/>
        <v>56941</v>
      </c>
      <c r="R69" s="57"/>
    </row>
    <row r="70" spans="1:18" s="47" customFormat="1" ht="15" customHeight="1" x14ac:dyDescent="0.2">
      <c r="A70" s="58" t="s">
        <v>210</v>
      </c>
      <c r="B70" s="59" t="s">
        <v>211</v>
      </c>
      <c r="C70" s="60">
        <v>5978</v>
      </c>
      <c r="D70" s="60">
        <v>4971</v>
      </c>
      <c r="E70" s="60">
        <v>2691</v>
      </c>
      <c r="F70" s="60">
        <v>1117</v>
      </c>
      <c r="G70" s="60">
        <v>1377</v>
      </c>
      <c r="H70" s="60">
        <v>516</v>
      </c>
      <c r="I70" s="60">
        <v>433</v>
      </c>
      <c r="J70" s="60">
        <v>320</v>
      </c>
      <c r="K70" s="60">
        <v>209</v>
      </c>
      <c r="L70" s="60">
        <v>81</v>
      </c>
      <c r="M70" s="60">
        <v>13</v>
      </c>
      <c r="N70" s="60">
        <v>4</v>
      </c>
      <c r="O70" s="60">
        <v>16</v>
      </c>
      <c r="P70" s="61">
        <f t="shared" si="0"/>
        <v>17726</v>
      </c>
      <c r="R70" s="57"/>
    </row>
    <row r="71" spans="1:18" s="47" customFormat="1" ht="15" customHeight="1" x14ac:dyDescent="0.2">
      <c r="A71" s="53" t="s">
        <v>212</v>
      </c>
      <c r="B71" s="54" t="s">
        <v>213</v>
      </c>
      <c r="C71" s="55">
        <v>9506</v>
      </c>
      <c r="D71" s="55">
        <v>8241</v>
      </c>
      <c r="E71" s="55">
        <v>4724</v>
      </c>
      <c r="F71" s="55">
        <v>2502</v>
      </c>
      <c r="G71" s="55">
        <v>2878</v>
      </c>
      <c r="H71" s="55">
        <v>601</v>
      </c>
      <c r="I71" s="55">
        <v>390</v>
      </c>
      <c r="J71" s="55">
        <v>218</v>
      </c>
      <c r="K71" s="55">
        <v>120</v>
      </c>
      <c r="L71" s="55">
        <v>24</v>
      </c>
      <c r="M71" s="55">
        <v>7</v>
      </c>
      <c r="N71" s="55">
        <v>0</v>
      </c>
      <c r="O71" s="55">
        <v>2</v>
      </c>
      <c r="P71" s="56">
        <f t="shared" si="0"/>
        <v>29213</v>
      </c>
      <c r="R71" s="57"/>
    </row>
    <row r="72" spans="1:18" s="47" customFormat="1" ht="15" customHeight="1" x14ac:dyDescent="0.2">
      <c r="A72" s="58" t="s">
        <v>214</v>
      </c>
      <c r="B72" s="59" t="s">
        <v>215</v>
      </c>
      <c r="C72" s="60">
        <v>484</v>
      </c>
      <c r="D72" s="60">
        <v>353</v>
      </c>
      <c r="E72" s="60">
        <v>216</v>
      </c>
      <c r="F72" s="60">
        <v>99</v>
      </c>
      <c r="G72" s="60">
        <v>123</v>
      </c>
      <c r="H72" s="60">
        <v>32</v>
      </c>
      <c r="I72" s="60">
        <v>30</v>
      </c>
      <c r="J72" s="60">
        <v>26</v>
      </c>
      <c r="K72" s="60">
        <v>17</v>
      </c>
      <c r="L72" s="60">
        <v>6</v>
      </c>
      <c r="M72" s="60">
        <v>3</v>
      </c>
      <c r="N72" s="60">
        <v>0</v>
      </c>
      <c r="O72" s="60">
        <v>2</v>
      </c>
      <c r="P72" s="61">
        <f t="shared" si="0"/>
        <v>1391</v>
      </c>
      <c r="R72" s="57"/>
    </row>
    <row r="73" spans="1:18" s="47" customFormat="1" ht="15" customHeight="1" x14ac:dyDescent="0.2">
      <c r="A73" s="53" t="s">
        <v>216</v>
      </c>
      <c r="B73" s="54" t="s">
        <v>217</v>
      </c>
      <c r="C73" s="55">
        <v>2840</v>
      </c>
      <c r="D73" s="55">
        <v>2266</v>
      </c>
      <c r="E73" s="55">
        <v>1139</v>
      </c>
      <c r="F73" s="55">
        <v>476</v>
      </c>
      <c r="G73" s="55">
        <v>520</v>
      </c>
      <c r="H73" s="55">
        <v>148</v>
      </c>
      <c r="I73" s="55">
        <v>122</v>
      </c>
      <c r="J73" s="55">
        <v>84</v>
      </c>
      <c r="K73" s="55">
        <v>48</v>
      </c>
      <c r="L73" s="55">
        <v>11</v>
      </c>
      <c r="M73" s="55">
        <v>2</v>
      </c>
      <c r="N73" s="55">
        <v>0</v>
      </c>
      <c r="O73" s="55">
        <v>2</v>
      </c>
      <c r="P73" s="56">
        <f t="shared" si="0"/>
        <v>7658</v>
      </c>
      <c r="R73" s="57"/>
    </row>
    <row r="74" spans="1:18" s="47" customFormat="1" ht="15" customHeight="1" x14ac:dyDescent="0.2">
      <c r="A74" s="58" t="s">
        <v>218</v>
      </c>
      <c r="B74" s="59" t="s">
        <v>219</v>
      </c>
      <c r="C74" s="60">
        <v>4282</v>
      </c>
      <c r="D74" s="60">
        <v>2744</v>
      </c>
      <c r="E74" s="60">
        <v>1269</v>
      </c>
      <c r="F74" s="60">
        <v>496</v>
      </c>
      <c r="G74" s="60">
        <v>417</v>
      </c>
      <c r="H74" s="60">
        <v>97</v>
      </c>
      <c r="I74" s="60">
        <v>60</v>
      </c>
      <c r="J74" s="60">
        <v>33</v>
      </c>
      <c r="K74" s="60">
        <v>12</v>
      </c>
      <c r="L74" s="60">
        <v>4</v>
      </c>
      <c r="M74" s="60">
        <v>1</v>
      </c>
      <c r="N74" s="60">
        <v>0</v>
      </c>
      <c r="O74" s="60">
        <v>3</v>
      </c>
      <c r="P74" s="61">
        <f t="shared" ref="P74:P97" si="1">SUM(C74:O74)</f>
        <v>9418</v>
      </c>
      <c r="R74" s="57"/>
    </row>
    <row r="75" spans="1:18" s="47" customFormat="1" ht="15" customHeight="1" x14ac:dyDescent="0.2">
      <c r="A75" s="53" t="s">
        <v>220</v>
      </c>
      <c r="B75" s="54" t="s">
        <v>221</v>
      </c>
      <c r="C75" s="55">
        <v>2162</v>
      </c>
      <c r="D75" s="55">
        <v>1572</v>
      </c>
      <c r="E75" s="55">
        <v>538</v>
      </c>
      <c r="F75" s="55">
        <v>148</v>
      </c>
      <c r="G75" s="55">
        <v>122</v>
      </c>
      <c r="H75" s="55">
        <v>18</v>
      </c>
      <c r="I75" s="55">
        <v>10</v>
      </c>
      <c r="J75" s="55">
        <v>3</v>
      </c>
      <c r="K75" s="55">
        <v>4</v>
      </c>
      <c r="L75" s="55">
        <v>2</v>
      </c>
      <c r="M75" s="55">
        <v>0</v>
      </c>
      <c r="N75" s="55">
        <v>0</v>
      </c>
      <c r="O75" s="55">
        <v>0</v>
      </c>
      <c r="P75" s="56">
        <f t="shared" si="1"/>
        <v>4579</v>
      </c>
      <c r="R75" s="57"/>
    </row>
    <row r="76" spans="1:18" s="47" customFormat="1" ht="15" customHeight="1" x14ac:dyDescent="0.2">
      <c r="A76" s="58" t="s">
        <v>222</v>
      </c>
      <c r="B76" s="59" t="s">
        <v>223</v>
      </c>
      <c r="C76" s="60">
        <v>3191</v>
      </c>
      <c r="D76" s="60">
        <v>2119</v>
      </c>
      <c r="E76" s="60">
        <v>934</v>
      </c>
      <c r="F76" s="60">
        <v>403</v>
      </c>
      <c r="G76" s="60">
        <v>378</v>
      </c>
      <c r="H76" s="60">
        <v>82</v>
      </c>
      <c r="I76" s="60">
        <v>55</v>
      </c>
      <c r="J76" s="60">
        <v>29</v>
      </c>
      <c r="K76" s="60">
        <v>12</v>
      </c>
      <c r="L76" s="60">
        <v>1</v>
      </c>
      <c r="M76" s="60">
        <v>0</v>
      </c>
      <c r="N76" s="60">
        <v>0</v>
      </c>
      <c r="O76" s="60">
        <v>0</v>
      </c>
      <c r="P76" s="61">
        <f t="shared" si="1"/>
        <v>7204</v>
      </c>
      <c r="R76" s="57"/>
    </row>
    <row r="77" spans="1:18" s="47" customFormat="1" ht="15" customHeight="1" x14ac:dyDescent="0.2">
      <c r="A77" s="53" t="s">
        <v>224</v>
      </c>
      <c r="B77" s="54" t="s">
        <v>225</v>
      </c>
      <c r="C77" s="55">
        <v>584</v>
      </c>
      <c r="D77" s="55">
        <v>588</v>
      </c>
      <c r="E77" s="55">
        <v>406</v>
      </c>
      <c r="F77" s="55">
        <v>220</v>
      </c>
      <c r="G77" s="55">
        <v>334</v>
      </c>
      <c r="H77" s="55">
        <v>142</v>
      </c>
      <c r="I77" s="55">
        <v>179</v>
      </c>
      <c r="J77" s="55">
        <v>171</v>
      </c>
      <c r="K77" s="55">
        <v>141</v>
      </c>
      <c r="L77" s="55">
        <v>51</v>
      </c>
      <c r="M77" s="55">
        <v>11</v>
      </c>
      <c r="N77" s="55">
        <v>6</v>
      </c>
      <c r="O77" s="55">
        <v>14</v>
      </c>
      <c r="P77" s="56">
        <f t="shared" si="1"/>
        <v>2847</v>
      </c>
      <c r="R77" s="57"/>
    </row>
    <row r="78" spans="1:18" s="47" customFormat="1" ht="15" customHeight="1" x14ac:dyDescent="0.2">
      <c r="A78" s="58" t="s">
        <v>226</v>
      </c>
      <c r="B78" s="59" t="s">
        <v>227</v>
      </c>
      <c r="C78" s="60">
        <v>3752</v>
      </c>
      <c r="D78" s="60">
        <v>3453</v>
      </c>
      <c r="E78" s="60">
        <v>1880</v>
      </c>
      <c r="F78" s="60">
        <v>782</v>
      </c>
      <c r="G78" s="60">
        <v>897</v>
      </c>
      <c r="H78" s="60">
        <v>266</v>
      </c>
      <c r="I78" s="60">
        <v>148</v>
      </c>
      <c r="J78" s="60">
        <v>86</v>
      </c>
      <c r="K78" s="60">
        <v>35</v>
      </c>
      <c r="L78" s="60">
        <v>9</v>
      </c>
      <c r="M78" s="60">
        <v>1</v>
      </c>
      <c r="N78" s="60">
        <v>0</v>
      </c>
      <c r="O78" s="60">
        <v>0</v>
      </c>
      <c r="P78" s="61">
        <f t="shared" si="1"/>
        <v>11309</v>
      </c>
      <c r="R78" s="57"/>
    </row>
    <row r="79" spans="1:18" s="47" customFormat="1" ht="15" customHeight="1" x14ac:dyDescent="0.2">
      <c r="A79" s="53" t="s">
        <v>228</v>
      </c>
      <c r="B79" s="54" t="s">
        <v>229</v>
      </c>
      <c r="C79" s="55">
        <v>4216</v>
      </c>
      <c r="D79" s="55">
        <v>5918</v>
      </c>
      <c r="E79" s="55">
        <v>4219</v>
      </c>
      <c r="F79" s="55">
        <v>1722</v>
      </c>
      <c r="G79" s="55">
        <v>1941</v>
      </c>
      <c r="H79" s="55">
        <v>622</v>
      </c>
      <c r="I79" s="55">
        <v>537</v>
      </c>
      <c r="J79" s="55">
        <v>414</v>
      </c>
      <c r="K79" s="55">
        <v>251</v>
      </c>
      <c r="L79" s="55">
        <v>60</v>
      </c>
      <c r="M79" s="55">
        <v>10</v>
      </c>
      <c r="N79" s="55">
        <v>8</v>
      </c>
      <c r="O79" s="55">
        <v>11</v>
      </c>
      <c r="P79" s="56">
        <f t="shared" si="1"/>
        <v>19929</v>
      </c>
      <c r="R79" s="57"/>
    </row>
    <row r="80" spans="1:18" s="47" customFormat="1" ht="15" customHeight="1" x14ac:dyDescent="0.2">
      <c r="A80" s="58" t="s">
        <v>230</v>
      </c>
      <c r="B80" s="59" t="s">
        <v>231</v>
      </c>
      <c r="C80" s="60">
        <v>11999</v>
      </c>
      <c r="D80" s="60">
        <v>6835</v>
      </c>
      <c r="E80" s="60">
        <v>3932</v>
      </c>
      <c r="F80" s="60">
        <v>1729</v>
      </c>
      <c r="G80" s="60">
        <v>2545</v>
      </c>
      <c r="H80" s="60">
        <v>1121</v>
      </c>
      <c r="I80" s="60">
        <v>1070</v>
      </c>
      <c r="J80" s="60">
        <v>897</v>
      </c>
      <c r="K80" s="60">
        <v>569</v>
      </c>
      <c r="L80" s="60">
        <v>195</v>
      </c>
      <c r="M80" s="60">
        <v>61</v>
      </c>
      <c r="N80" s="60">
        <v>24</v>
      </c>
      <c r="O80" s="60">
        <v>44</v>
      </c>
      <c r="P80" s="61">
        <f t="shared" si="1"/>
        <v>31021</v>
      </c>
      <c r="R80" s="57"/>
    </row>
    <row r="81" spans="1:18" s="47" customFormat="1" ht="15" customHeight="1" x14ac:dyDescent="0.2">
      <c r="A81" s="53" t="s">
        <v>232</v>
      </c>
      <c r="B81" s="54" t="s">
        <v>233</v>
      </c>
      <c r="C81" s="55">
        <v>12351</v>
      </c>
      <c r="D81" s="55">
        <v>10469</v>
      </c>
      <c r="E81" s="55">
        <v>5595</v>
      </c>
      <c r="F81" s="55">
        <v>2347</v>
      </c>
      <c r="G81" s="55">
        <v>2779</v>
      </c>
      <c r="H81" s="55">
        <v>1021</v>
      </c>
      <c r="I81" s="55">
        <v>866</v>
      </c>
      <c r="J81" s="55">
        <v>615</v>
      </c>
      <c r="K81" s="55">
        <v>461</v>
      </c>
      <c r="L81" s="55">
        <v>173</v>
      </c>
      <c r="M81" s="55">
        <v>42</v>
      </c>
      <c r="N81" s="55">
        <v>31</v>
      </c>
      <c r="O81" s="55">
        <v>45</v>
      </c>
      <c r="P81" s="56">
        <f t="shared" si="1"/>
        <v>36795</v>
      </c>
      <c r="R81" s="57"/>
    </row>
    <row r="82" spans="1:18" s="47" customFormat="1" ht="15" customHeight="1" x14ac:dyDescent="0.2">
      <c r="A82" s="58" t="s">
        <v>234</v>
      </c>
      <c r="B82" s="59" t="s">
        <v>235</v>
      </c>
      <c r="C82" s="60">
        <v>955</v>
      </c>
      <c r="D82" s="60">
        <v>1011</v>
      </c>
      <c r="E82" s="60">
        <v>856</v>
      </c>
      <c r="F82" s="60">
        <v>445</v>
      </c>
      <c r="G82" s="60">
        <v>797</v>
      </c>
      <c r="H82" s="60">
        <v>395</v>
      </c>
      <c r="I82" s="60">
        <v>415</v>
      </c>
      <c r="J82" s="60">
        <v>386</v>
      </c>
      <c r="K82" s="60">
        <v>326</v>
      </c>
      <c r="L82" s="60">
        <v>131</v>
      </c>
      <c r="M82" s="60">
        <v>42</v>
      </c>
      <c r="N82" s="60">
        <v>32</v>
      </c>
      <c r="O82" s="60">
        <v>39</v>
      </c>
      <c r="P82" s="61">
        <f t="shared" si="1"/>
        <v>5830</v>
      </c>
      <c r="R82" s="57"/>
    </row>
    <row r="83" spans="1:18" s="47" customFormat="1" ht="15" customHeight="1" x14ac:dyDescent="0.2">
      <c r="A83" s="53" t="s">
        <v>236</v>
      </c>
      <c r="B83" s="54" t="s">
        <v>237</v>
      </c>
      <c r="C83" s="55">
        <v>6271</v>
      </c>
      <c r="D83" s="55">
        <v>7573</v>
      </c>
      <c r="E83" s="55">
        <v>8086</v>
      </c>
      <c r="F83" s="55">
        <v>5311</v>
      </c>
      <c r="G83" s="55">
        <v>6763</v>
      </c>
      <c r="H83" s="55">
        <v>2317</v>
      </c>
      <c r="I83" s="55">
        <v>1721</v>
      </c>
      <c r="J83" s="55">
        <v>1436</v>
      </c>
      <c r="K83" s="55">
        <v>762</v>
      </c>
      <c r="L83" s="55">
        <v>176</v>
      </c>
      <c r="M83" s="55">
        <v>38</v>
      </c>
      <c r="N83" s="55">
        <v>19</v>
      </c>
      <c r="O83" s="55">
        <v>18</v>
      </c>
      <c r="P83" s="56">
        <f t="shared" si="1"/>
        <v>40491</v>
      </c>
      <c r="R83" s="57"/>
    </row>
    <row r="84" spans="1:18" s="47" customFormat="1" ht="15" customHeight="1" x14ac:dyDescent="0.2">
      <c r="A84" s="58" t="s">
        <v>238</v>
      </c>
      <c r="B84" s="59" t="s">
        <v>239</v>
      </c>
      <c r="C84" s="60">
        <v>15090</v>
      </c>
      <c r="D84" s="60">
        <v>13655</v>
      </c>
      <c r="E84" s="60">
        <v>5918</v>
      </c>
      <c r="F84" s="60">
        <v>2445</v>
      </c>
      <c r="G84" s="60">
        <v>3270</v>
      </c>
      <c r="H84" s="60">
        <v>1327</v>
      </c>
      <c r="I84" s="60">
        <v>1157</v>
      </c>
      <c r="J84" s="60">
        <v>999</v>
      </c>
      <c r="K84" s="60">
        <v>827</v>
      </c>
      <c r="L84" s="60">
        <v>458</v>
      </c>
      <c r="M84" s="60">
        <v>155</v>
      </c>
      <c r="N84" s="60">
        <v>72</v>
      </c>
      <c r="O84" s="60">
        <v>70</v>
      </c>
      <c r="P84" s="61">
        <f t="shared" si="1"/>
        <v>45443</v>
      </c>
      <c r="R84" s="57"/>
    </row>
    <row r="85" spans="1:18" s="47" customFormat="1" ht="15" customHeight="1" x14ac:dyDescent="0.2">
      <c r="A85" s="53" t="s">
        <v>240</v>
      </c>
      <c r="B85" s="54" t="s">
        <v>241</v>
      </c>
      <c r="C85" s="55">
        <v>251</v>
      </c>
      <c r="D85" s="55">
        <v>293</v>
      </c>
      <c r="E85" s="55">
        <v>313</v>
      </c>
      <c r="F85" s="55">
        <v>209</v>
      </c>
      <c r="G85" s="55">
        <v>413</v>
      </c>
      <c r="H85" s="55">
        <v>287</v>
      </c>
      <c r="I85" s="55">
        <v>359</v>
      </c>
      <c r="J85" s="55">
        <v>226</v>
      </c>
      <c r="K85" s="55">
        <v>37</v>
      </c>
      <c r="L85" s="55">
        <v>1</v>
      </c>
      <c r="M85" s="55">
        <v>1</v>
      </c>
      <c r="N85" s="55">
        <v>1</v>
      </c>
      <c r="O85" s="55">
        <v>0</v>
      </c>
      <c r="P85" s="56">
        <f t="shared" si="1"/>
        <v>2391</v>
      </c>
      <c r="R85" s="57"/>
    </row>
    <row r="86" spans="1:18" s="47" customFormat="1" ht="15" customHeight="1" x14ac:dyDescent="0.2">
      <c r="A86" s="58" t="s">
        <v>242</v>
      </c>
      <c r="B86" s="59" t="s">
        <v>243</v>
      </c>
      <c r="C86" s="60">
        <v>522</v>
      </c>
      <c r="D86" s="60">
        <v>628</v>
      </c>
      <c r="E86" s="60">
        <v>1218</v>
      </c>
      <c r="F86" s="60">
        <v>1192</v>
      </c>
      <c r="G86" s="60">
        <v>2174</v>
      </c>
      <c r="H86" s="60">
        <v>663</v>
      </c>
      <c r="I86" s="60">
        <v>266</v>
      </c>
      <c r="J86" s="60">
        <v>55</v>
      </c>
      <c r="K86" s="60">
        <v>17</v>
      </c>
      <c r="L86" s="60">
        <v>2</v>
      </c>
      <c r="M86" s="60">
        <v>3</v>
      </c>
      <c r="N86" s="60">
        <v>0</v>
      </c>
      <c r="O86" s="60">
        <v>0</v>
      </c>
      <c r="P86" s="61">
        <f t="shared" si="1"/>
        <v>6740</v>
      </c>
      <c r="R86" s="57"/>
    </row>
    <row r="87" spans="1:18" s="47" customFormat="1" ht="15" customHeight="1" x14ac:dyDescent="0.2">
      <c r="A87" s="53" t="s">
        <v>244</v>
      </c>
      <c r="B87" s="54" t="s">
        <v>245</v>
      </c>
      <c r="C87" s="55">
        <v>775</v>
      </c>
      <c r="D87" s="55">
        <v>491</v>
      </c>
      <c r="E87" s="55">
        <v>244</v>
      </c>
      <c r="F87" s="55">
        <v>119</v>
      </c>
      <c r="G87" s="55">
        <v>142</v>
      </c>
      <c r="H87" s="55">
        <v>50</v>
      </c>
      <c r="I87" s="55">
        <v>21</v>
      </c>
      <c r="J87" s="55">
        <v>16</v>
      </c>
      <c r="K87" s="55">
        <v>8</v>
      </c>
      <c r="L87" s="55">
        <v>2</v>
      </c>
      <c r="M87" s="55">
        <v>0</v>
      </c>
      <c r="N87" s="55">
        <v>0</v>
      </c>
      <c r="O87" s="55">
        <v>2</v>
      </c>
      <c r="P87" s="56">
        <f t="shared" si="1"/>
        <v>1870</v>
      </c>
      <c r="R87" s="57"/>
    </row>
    <row r="88" spans="1:18" s="47" customFormat="1" ht="15" customHeight="1" x14ac:dyDescent="0.2">
      <c r="A88" s="58" t="s">
        <v>246</v>
      </c>
      <c r="B88" s="59" t="s">
        <v>247</v>
      </c>
      <c r="C88" s="60">
        <v>390</v>
      </c>
      <c r="D88" s="60">
        <v>205</v>
      </c>
      <c r="E88" s="60">
        <v>123</v>
      </c>
      <c r="F88" s="60">
        <v>51</v>
      </c>
      <c r="G88" s="60">
        <v>55</v>
      </c>
      <c r="H88" s="60">
        <v>20</v>
      </c>
      <c r="I88" s="60">
        <v>13</v>
      </c>
      <c r="J88" s="60">
        <v>12</v>
      </c>
      <c r="K88" s="60">
        <v>3</v>
      </c>
      <c r="L88" s="60">
        <v>0</v>
      </c>
      <c r="M88" s="60">
        <v>0</v>
      </c>
      <c r="N88" s="60">
        <v>0</v>
      </c>
      <c r="O88" s="60">
        <v>0</v>
      </c>
      <c r="P88" s="61">
        <f t="shared" si="1"/>
        <v>872</v>
      </c>
      <c r="R88" s="57"/>
    </row>
    <row r="89" spans="1:18" s="47" customFormat="1" ht="15" customHeight="1" x14ac:dyDescent="0.2">
      <c r="A89" s="53" t="s">
        <v>248</v>
      </c>
      <c r="B89" s="54" t="s">
        <v>249</v>
      </c>
      <c r="C89" s="55">
        <v>1173</v>
      </c>
      <c r="D89" s="55">
        <v>751</v>
      </c>
      <c r="E89" s="55">
        <v>149</v>
      </c>
      <c r="F89" s="55">
        <v>32</v>
      </c>
      <c r="G89" s="55">
        <v>16</v>
      </c>
      <c r="H89" s="55">
        <v>4</v>
      </c>
      <c r="I89" s="55">
        <v>5</v>
      </c>
      <c r="J89" s="55">
        <v>1</v>
      </c>
      <c r="K89" s="55">
        <v>4</v>
      </c>
      <c r="L89" s="55">
        <v>0</v>
      </c>
      <c r="M89" s="55">
        <v>0</v>
      </c>
      <c r="N89" s="55">
        <v>0</v>
      </c>
      <c r="O89" s="55">
        <v>0</v>
      </c>
      <c r="P89" s="56">
        <f t="shared" si="1"/>
        <v>2135</v>
      </c>
      <c r="R89" s="57"/>
    </row>
    <row r="90" spans="1:18" s="47" customFormat="1" ht="15" customHeight="1" x14ac:dyDescent="0.2">
      <c r="A90" s="58" t="s">
        <v>250</v>
      </c>
      <c r="B90" s="59" t="s">
        <v>251</v>
      </c>
      <c r="C90" s="60">
        <v>4926</v>
      </c>
      <c r="D90" s="60">
        <v>3834</v>
      </c>
      <c r="E90" s="60">
        <v>1745</v>
      </c>
      <c r="F90" s="60">
        <v>648</v>
      </c>
      <c r="G90" s="60">
        <v>661</v>
      </c>
      <c r="H90" s="60">
        <v>194</v>
      </c>
      <c r="I90" s="60">
        <v>197</v>
      </c>
      <c r="J90" s="60">
        <v>84</v>
      </c>
      <c r="K90" s="60">
        <v>39</v>
      </c>
      <c r="L90" s="60">
        <v>7</v>
      </c>
      <c r="M90" s="60">
        <v>2</v>
      </c>
      <c r="N90" s="60">
        <v>0</v>
      </c>
      <c r="O90" s="60">
        <v>1</v>
      </c>
      <c r="P90" s="61">
        <f t="shared" si="1"/>
        <v>12338</v>
      </c>
      <c r="R90" s="57"/>
    </row>
    <row r="91" spans="1:18" s="47" customFormat="1" ht="15" customHeight="1" x14ac:dyDescent="0.2">
      <c r="A91" s="53" t="s">
        <v>252</v>
      </c>
      <c r="B91" s="54" t="s">
        <v>253</v>
      </c>
      <c r="C91" s="55">
        <v>5287</v>
      </c>
      <c r="D91" s="55">
        <v>3528</v>
      </c>
      <c r="E91" s="55">
        <v>2133</v>
      </c>
      <c r="F91" s="55">
        <v>847</v>
      </c>
      <c r="G91" s="55">
        <v>743</v>
      </c>
      <c r="H91" s="55">
        <v>239</v>
      </c>
      <c r="I91" s="55">
        <v>158</v>
      </c>
      <c r="J91" s="55">
        <v>81</v>
      </c>
      <c r="K91" s="55">
        <v>14</v>
      </c>
      <c r="L91" s="55">
        <v>3</v>
      </c>
      <c r="M91" s="55">
        <v>0</v>
      </c>
      <c r="N91" s="55">
        <v>1</v>
      </c>
      <c r="O91" s="55">
        <v>0</v>
      </c>
      <c r="P91" s="56">
        <f t="shared" si="1"/>
        <v>13034</v>
      </c>
      <c r="R91" s="57"/>
    </row>
    <row r="92" spans="1:18" s="47" customFormat="1" ht="15" customHeight="1" x14ac:dyDescent="0.2">
      <c r="A92" s="58" t="s">
        <v>254</v>
      </c>
      <c r="B92" s="59" t="s">
        <v>255</v>
      </c>
      <c r="C92" s="60">
        <v>6861</v>
      </c>
      <c r="D92" s="60">
        <v>3760</v>
      </c>
      <c r="E92" s="60">
        <v>1420</v>
      </c>
      <c r="F92" s="60">
        <v>484</v>
      </c>
      <c r="G92" s="60">
        <v>681</v>
      </c>
      <c r="H92" s="60">
        <v>206</v>
      </c>
      <c r="I92" s="60">
        <v>135</v>
      </c>
      <c r="J92" s="60">
        <v>38</v>
      </c>
      <c r="K92" s="60">
        <v>12</v>
      </c>
      <c r="L92" s="60">
        <v>4</v>
      </c>
      <c r="M92" s="60">
        <v>0</v>
      </c>
      <c r="N92" s="60">
        <v>0</v>
      </c>
      <c r="O92" s="60">
        <v>0</v>
      </c>
      <c r="P92" s="61">
        <f t="shared" si="1"/>
        <v>13601</v>
      </c>
      <c r="R92" s="57"/>
    </row>
    <row r="93" spans="1:18" s="47" customFormat="1" ht="15" customHeight="1" x14ac:dyDescent="0.2">
      <c r="A93" s="53" t="s">
        <v>256</v>
      </c>
      <c r="B93" s="54" t="s">
        <v>257</v>
      </c>
      <c r="C93" s="55">
        <v>20897</v>
      </c>
      <c r="D93" s="55">
        <v>12048</v>
      </c>
      <c r="E93" s="55">
        <v>5030</v>
      </c>
      <c r="F93" s="55">
        <v>1714</v>
      </c>
      <c r="G93" s="55">
        <v>1306</v>
      </c>
      <c r="H93" s="55">
        <v>230</v>
      </c>
      <c r="I93" s="55">
        <v>123</v>
      </c>
      <c r="J93" s="55">
        <v>65</v>
      </c>
      <c r="K93" s="55">
        <v>18</v>
      </c>
      <c r="L93" s="55">
        <v>7</v>
      </c>
      <c r="M93" s="55">
        <v>2</v>
      </c>
      <c r="N93" s="55">
        <v>0</v>
      </c>
      <c r="O93" s="55">
        <v>1</v>
      </c>
      <c r="P93" s="56">
        <f t="shared" si="1"/>
        <v>41441</v>
      </c>
      <c r="R93" s="57"/>
    </row>
    <row r="94" spans="1:18" s="47" customFormat="1" ht="15" customHeight="1" x14ac:dyDescent="0.2">
      <c r="A94" s="58" t="s">
        <v>258</v>
      </c>
      <c r="B94" s="59" t="s">
        <v>259</v>
      </c>
      <c r="C94" s="60">
        <v>31984</v>
      </c>
      <c r="D94" s="60">
        <v>1045</v>
      </c>
      <c r="E94" s="60">
        <v>95</v>
      </c>
      <c r="F94" s="60">
        <v>20</v>
      </c>
      <c r="G94" s="60">
        <v>5</v>
      </c>
      <c r="H94" s="60">
        <v>0</v>
      </c>
      <c r="I94" s="60">
        <v>0</v>
      </c>
      <c r="J94" s="60">
        <v>0</v>
      </c>
      <c r="K94" s="60">
        <v>0</v>
      </c>
      <c r="L94" s="60">
        <v>0</v>
      </c>
      <c r="M94" s="60">
        <v>0</v>
      </c>
      <c r="N94" s="60">
        <v>0</v>
      </c>
      <c r="O94" s="60">
        <v>0</v>
      </c>
      <c r="P94" s="61">
        <f t="shared" si="1"/>
        <v>33149</v>
      </c>
      <c r="R94" s="57"/>
    </row>
    <row r="95" spans="1:18" s="47" customFormat="1" ht="15" customHeight="1" x14ac:dyDescent="0.2">
      <c r="A95" s="53" t="s">
        <v>260</v>
      </c>
      <c r="B95" s="54" t="s">
        <v>261</v>
      </c>
      <c r="C95" s="55">
        <v>94</v>
      </c>
      <c r="D95" s="55">
        <v>27</v>
      </c>
      <c r="E95" s="55">
        <v>15</v>
      </c>
      <c r="F95" s="55">
        <v>1</v>
      </c>
      <c r="G95" s="55">
        <v>0</v>
      </c>
      <c r="H95" s="55">
        <v>1</v>
      </c>
      <c r="I95" s="55">
        <v>0</v>
      </c>
      <c r="J95" s="55">
        <v>0</v>
      </c>
      <c r="K95" s="55">
        <v>0</v>
      </c>
      <c r="L95" s="55">
        <v>0</v>
      </c>
      <c r="M95" s="55">
        <v>0</v>
      </c>
      <c r="N95" s="55">
        <v>0</v>
      </c>
      <c r="O95" s="55">
        <v>0</v>
      </c>
      <c r="P95" s="56">
        <f t="shared" si="1"/>
        <v>138</v>
      </c>
      <c r="R95" s="57"/>
    </row>
    <row r="96" spans="1:18" s="47" customFormat="1" ht="15" customHeight="1" x14ac:dyDescent="0.2">
      <c r="A96" s="58" t="s">
        <v>262</v>
      </c>
      <c r="B96" s="59" t="s">
        <v>263</v>
      </c>
      <c r="C96" s="60">
        <v>99</v>
      </c>
      <c r="D96" s="60">
        <v>93</v>
      </c>
      <c r="E96" s="60">
        <v>86</v>
      </c>
      <c r="F96" s="60">
        <v>47</v>
      </c>
      <c r="G96" s="60">
        <v>51</v>
      </c>
      <c r="H96" s="60">
        <v>19</v>
      </c>
      <c r="I96" s="60">
        <v>7</v>
      </c>
      <c r="J96" s="60">
        <v>15</v>
      </c>
      <c r="K96" s="60">
        <v>5</v>
      </c>
      <c r="L96" s="60">
        <v>0</v>
      </c>
      <c r="M96" s="60">
        <v>0</v>
      </c>
      <c r="N96" s="60">
        <v>0</v>
      </c>
      <c r="O96" s="60">
        <v>0</v>
      </c>
      <c r="P96" s="61">
        <f t="shared" si="1"/>
        <v>422</v>
      </c>
      <c r="R96" s="57"/>
    </row>
    <row r="97" spans="1:18" s="47" customFormat="1" ht="25.05" customHeight="1" x14ac:dyDescent="0.2">
      <c r="A97" s="53"/>
      <c r="B97" s="54" t="s">
        <v>264</v>
      </c>
      <c r="C97" s="55">
        <v>22965</v>
      </c>
      <c r="D97" s="55">
        <v>1609</v>
      </c>
      <c r="E97" s="55">
        <v>128</v>
      </c>
      <c r="F97" s="55">
        <v>16</v>
      </c>
      <c r="G97" s="55">
        <v>6</v>
      </c>
      <c r="H97" s="55">
        <v>1</v>
      </c>
      <c r="I97" s="55">
        <v>0</v>
      </c>
      <c r="J97" s="55">
        <v>0</v>
      </c>
      <c r="K97" s="55">
        <v>0</v>
      </c>
      <c r="L97" s="55">
        <v>0</v>
      </c>
      <c r="M97" s="55">
        <v>0</v>
      </c>
      <c r="N97" s="55">
        <v>0</v>
      </c>
      <c r="O97" s="55">
        <v>0</v>
      </c>
      <c r="P97" s="56">
        <f t="shared" si="1"/>
        <v>24725</v>
      </c>
      <c r="R97" s="57"/>
    </row>
    <row r="98" spans="1:18" s="47" customFormat="1" ht="20.100000000000001" customHeight="1" x14ac:dyDescent="0.2">
      <c r="A98" s="69" t="s">
        <v>265</v>
      </c>
      <c r="B98" s="70"/>
      <c r="C98" s="63">
        <f>SUM(C9:C97)</f>
        <v>858476</v>
      </c>
      <c r="D98" s="63">
        <f t="shared" ref="D98:O98" si="2">SUM(D9:D97)</f>
        <v>625202</v>
      </c>
      <c r="E98" s="63">
        <f t="shared" si="2"/>
        <v>347121</v>
      </c>
      <c r="F98" s="63">
        <f t="shared" si="2"/>
        <v>135969</v>
      </c>
      <c r="G98" s="63">
        <f t="shared" si="2"/>
        <v>151258</v>
      </c>
      <c r="H98" s="63">
        <f t="shared" si="2"/>
        <v>47103</v>
      </c>
      <c r="I98" s="63">
        <f t="shared" si="2"/>
        <v>34881</v>
      </c>
      <c r="J98" s="63">
        <f t="shared" si="2"/>
        <v>23029</v>
      </c>
      <c r="K98" s="63">
        <f t="shared" si="2"/>
        <v>12951</v>
      </c>
      <c r="L98" s="63">
        <f t="shared" si="2"/>
        <v>3695</v>
      </c>
      <c r="M98" s="63">
        <f t="shared" si="2"/>
        <v>1100</v>
      </c>
      <c r="N98" s="63">
        <f t="shared" si="2"/>
        <v>457</v>
      </c>
      <c r="O98" s="63">
        <f t="shared" si="2"/>
        <v>654</v>
      </c>
      <c r="P98" s="63">
        <f>SUM(P9:P97)</f>
        <v>2241896</v>
      </c>
      <c r="R98" s="57"/>
    </row>
    <row r="99" spans="1:18" s="47" customFormat="1" ht="11.25" customHeight="1" x14ac:dyDescent="0.25">
      <c r="A99" s="90" t="s">
        <v>266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R99" s="57"/>
    </row>
    <row r="100" spans="1:18" s="47" customFormat="1" ht="11.55" customHeight="1" x14ac:dyDescent="0.2">
      <c r="A100" s="91" t="s">
        <v>267</v>
      </c>
      <c r="B100" s="91"/>
      <c r="C100" s="91"/>
      <c r="D100" s="91"/>
      <c r="E100" s="91"/>
    </row>
    <row r="101" spans="1:18" s="47" customFormat="1" ht="11.55" customHeight="1" x14ac:dyDescent="0.2">
      <c r="C101" s="64"/>
    </row>
    <row r="102" spans="1:18" s="47" customFormat="1" ht="11.55" customHeight="1" x14ac:dyDescent="0.2">
      <c r="C102" s="65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</row>
    <row r="103" spans="1:18" s="47" customFormat="1" ht="11.25" customHeight="1" x14ac:dyDescent="0.2">
      <c r="C103" s="64"/>
    </row>
    <row r="104" spans="1:18" s="47" customFormat="1" ht="11.55" customHeight="1" x14ac:dyDescent="0.2">
      <c r="C104" s="64"/>
    </row>
    <row r="105" spans="1:18" s="47" customFormat="1" ht="11.55" customHeight="1" x14ac:dyDescent="0.2">
      <c r="C105" s="64"/>
    </row>
    <row r="106" spans="1:18" s="47" customFormat="1" ht="11.55" customHeight="1" x14ac:dyDescent="0.2">
      <c r="C106" s="65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</row>
    <row r="107" spans="1:18" s="47" customFormat="1" ht="11.55" customHeight="1" x14ac:dyDescent="0.2">
      <c r="C107" s="64"/>
      <c r="E107" s="66"/>
    </row>
    <row r="108" spans="1:18" s="47" customFormat="1" ht="11.55" customHeight="1" x14ac:dyDescent="0.2">
      <c r="C108" s="64"/>
      <c r="G108" s="66"/>
    </row>
    <row r="109" spans="1:18" s="47" customFormat="1" ht="11.55" customHeight="1" x14ac:dyDescent="0.2">
      <c r="C109" s="64"/>
    </row>
    <row r="110" spans="1:18" s="47" customFormat="1" ht="11.55" customHeight="1" x14ac:dyDescent="0.2">
      <c r="C110" s="64"/>
    </row>
    <row r="111" spans="1:18" s="47" customFormat="1" ht="11.55" customHeight="1" x14ac:dyDescent="0.2">
      <c r="C111" s="64"/>
    </row>
    <row r="112" spans="1:18" s="47" customFormat="1" ht="11.55" customHeight="1" x14ac:dyDescent="0.2">
      <c r="C112" s="64"/>
    </row>
    <row r="113" spans="3:3" s="47" customFormat="1" ht="11.55" customHeight="1" x14ac:dyDescent="0.2">
      <c r="C113" s="64"/>
    </row>
    <row r="114" spans="3:3" s="47" customFormat="1" ht="11.55" customHeight="1" x14ac:dyDescent="0.2">
      <c r="C114" s="64"/>
    </row>
    <row r="115" spans="3:3" s="47" customFormat="1" ht="11.55" customHeight="1" x14ac:dyDescent="0.2">
      <c r="C115" s="64"/>
    </row>
    <row r="116" spans="3:3" s="47" customFormat="1" ht="11.55" customHeight="1" x14ac:dyDescent="0.2">
      <c r="C116" s="64"/>
    </row>
    <row r="117" spans="3:3" s="47" customFormat="1" ht="11.55" customHeight="1" x14ac:dyDescent="0.2">
      <c r="C117" s="64"/>
    </row>
    <row r="118" spans="3:3" s="47" customFormat="1" ht="11.55" customHeight="1" x14ac:dyDescent="0.2">
      <c r="C118" s="64"/>
    </row>
    <row r="119" spans="3:3" s="47" customFormat="1" ht="11.55" customHeight="1" x14ac:dyDescent="0.2">
      <c r="C119" s="64"/>
    </row>
    <row r="120" spans="3:3" s="47" customFormat="1" ht="11.55" customHeight="1" x14ac:dyDescent="0.2">
      <c r="C120" s="64"/>
    </row>
    <row r="121" spans="3:3" s="47" customFormat="1" ht="11.55" customHeight="1" x14ac:dyDescent="0.2">
      <c r="C121" s="64"/>
    </row>
    <row r="122" spans="3:3" s="47" customFormat="1" ht="11.55" customHeight="1" x14ac:dyDescent="0.2">
      <c r="C122" s="64"/>
    </row>
    <row r="123" spans="3:3" s="47" customFormat="1" ht="11.55" customHeight="1" x14ac:dyDescent="0.2">
      <c r="C123" s="64"/>
    </row>
    <row r="124" spans="3:3" s="47" customFormat="1" ht="11.55" customHeight="1" x14ac:dyDescent="0.2">
      <c r="C124" s="64"/>
    </row>
    <row r="125" spans="3:3" s="47" customFormat="1" ht="11.55" customHeight="1" x14ac:dyDescent="0.2">
      <c r="C125" s="64"/>
    </row>
    <row r="126" spans="3:3" s="47" customFormat="1" ht="11.55" customHeight="1" x14ac:dyDescent="0.2">
      <c r="C126" s="64"/>
    </row>
    <row r="127" spans="3:3" s="47" customFormat="1" ht="11.55" customHeight="1" x14ac:dyDescent="0.2">
      <c r="C127" s="64"/>
    </row>
    <row r="128" spans="3:3" s="47" customFormat="1" ht="11.55" customHeight="1" x14ac:dyDescent="0.2">
      <c r="C128" s="64"/>
    </row>
    <row r="129" spans="3:3" s="47" customFormat="1" ht="11.55" customHeight="1" x14ac:dyDescent="0.2">
      <c r="C129" s="64"/>
    </row>
    <row r="130" spans="3:3" s="47" customFormat="1" ht="11.55" customHeight="1" x14ac:dyDescent="0.2">
      <c r="C130" s="64"/>
    </row>
    <row r="131" spans="3:3" s="47" customFormat="1" ht="11.55" customHeight="1" x14ac:dyDescent="0.2">
      <c r="C131" s="64"/>
    </row>
    <row r="132" spans="3:3" s="47" customFormat="1" ht="11.55" customHeight="1" x14ac:dyDescent="0.2">
      <c r="C132" s="64"/>
    </row>
    <row r="133" spans="3:3" s="47" customFormat="1" ht="11.55" customHeight="1" x14ac:dyDescent="0.2">
      <c r="C133" s="64"/>
    </row>
    <row r="134" spans="3:3" s="47" customFormat="1" ht="11.55" customHeight="1" x14ac:dyDescent="0.2">
      <c r="C134" s="64"/>
    </row>
    <row r="135" spans="3:3" s="47" customFormat="1" ht="11.55" customHeight="1" x14ac:dyDescent="0.2">
      <c r="C135" s="64"/>
    </row>
    <row r="136" spans="3:3" s="47" customFormat="1" ht="11.55" customHeight="1" x14ac:dyDescent="0.2">
      <c r="C136" s="64"/>
    </row>
    <row r="137" spans="3:3" s="47" customFormat="1" ht="11.55" customHeight="1" x14ac:dyDescent="0.2">
      <c r="C137" s="64"/>
    </row>
    <row r="138" spans="3:3" s="47" customFormat="1" ht="11.55" customHeight="1" x14ac:dyDescent="0.2">
      <c r="C138" s="64"/>
    </row>
    <row r="139" spans="3:3" s="47" customFormat="1" ht="11.55" customHeight="1" x14ac:dyDescent="0.2">
      <c r="C139" s="64"/>
    </row>
    <row r="140" spans="3:3" s="47" customFormat="1" ht="11.55" customHeight="1" x14ac:dyDescent="0.2">
      <c r="C140" s="64"/>
    </row>
    <row r="141" spans="3:3" s="47" customFormat="1" ht="11.55" customHeight="1" x14ac:dyDescent="0.2">
      <c r="C141" s="64"/>
    </row>
    <row r="142" spans="3:3" s="47" customFormat="1" ht="11.55" customHeight="1" x14ac:dyDescent="0.2">
      <c r="C142" s="64"/>
    </row>
    <row r="143" spans="3:3" s="47" customFormat="1" ht="11.55" customHeight="1" x14ac:dyDescent="0.2">
      <c r="C143" s="64"/>
    </row>
    <row r="144" spans="3:3" s="47" customFormat="1" ht="11.55" customHeight="1" x14ac:dyDescent="0.2">
      <c r="C144" s="64"/>
    </row>
    <row r="145" spans="3:3" s="47" customFormat="1" ht="11.55" customHeight="1" x14ac:dyDescent="0.2">
      <c r="C145" s="64"/>
    </row>
    <row r="146" spans="3:3" s="47" customFormat="1" ht="11.55" customHeight="1" x14ac:dyDescent="0.2">
      <c r="C146" s="64"/>
    </row>
    <row r="147" spans="3:3" s="47" customFormat="1" ht="11.55" customHeight="1" x14ac:dyDescent="0.2">
      <c r="C147" s="64"/>
    </row>
    <row r="148" spans="3:3" s="47" customFormat="1" ht="11.55" customHeight="1" x14ac:dyDescent="0.2">
      <c r="C148" s="64"/>
    </row>
    <row r="149" spans="3:3" s="47" customFormat="1" ht="11.55" customHeight="1" x14ac:dyDescent="0.2">
      <c r="C149" s="64"/>
    </row>
    <row r="150" spans="3:3" s="47" customFormat="1" ht="11.55" customHeight="1" x14ac:dyDescent="0.2">
      <c r="C150" s="64"/>
    </row>
    <row r="151" spans="3:3" s="47" customFormat="1" ht="11.55" customHeight="1" x14ac:dyDescent="0.2">
      <c r="C151" s="64"/>
    </row>
    <row r="152" spans="3:3" s="47" customFormat="1" ht="11.55" customHeight="1" x14ac:dyDescent="0.2">
      <c r="C152" s="64"/>
    </row>
    <row r="153" spans="3:3" s="47" customFormat="1" ht="11.55" customHeight="1" x14ac:dyDescent="0.2">
      <c r="C153" s="64"/>
    </row>
    <row r="154" spans="3:3" s="47" customFormat="1" ht="11.55" customHeight="1" x14ac:dyDescent="0.2">
      <c r="C154" s="64"/>
    </row>
    <row r="155" spans="3:3" s="47" customFormat="1" ht="11.55" customHeight="1" x14ac:dyDescent="0.2">
      <c r="C155" s="64"/>
    </row>
    <row r="156" spans="3:3" s="47" customFormat="1" ht="11.55" customHeight="1" x14ac:dyDescent="0.2">
      <c r="C156" s="64"/>
    </row>
    <row r="157" spans="3:3" s="47" customFormat="1" ht="11.55" customHeight="1" x14ac:dyDescent="0.2">
      <c r="C157" s="64"/>
    </row>
    <row r="158" spans="3:3" s="47" customFormat="1" ht="11.55" customHeight="1" x14ac:dyDescent="0.2">
      <c r="C158" s="64"/>
    </row>
    <row r="159" spans="3:3" s="47" customFormat="1" ht="11.55" customHeight="1" x14ac:dyDescent="0.2">
      <c r="C159" s="64"/>
    </row>
    <row r="160" spans="3:3" s="47" customFormat="1" ht="11.55" customHeight="1" x14ac:dyDescent="0.2">
      <c r="C160" s="64"/>
    </row>
    <row r="161" spans="3:3" s="47" customFormat="1" ht="11.55" customHeight="1" x14ac:dyDescent="0.2">
      <c r="C161" s="64"/>
    </row>
    <row r="162" spans="3:3" s="47" customFormat="1" ht="11.55" customHeight="1" x14ac:dyDescent="0.2">
      <c r="C162" s="64"/>
    </row>
    <row r="163" spans="3:3" s="47" customFormat="1" ht="11.55" customHeight="1" x14ac:dyDescent="0.2">
      <c r="C163" s="64"/>
    </row>
    <row r="164" spans="3:3" s="47" customFormat="1" ht="11.55" customHeight="1" x14ac:dyDescent="0.2">
      <c r="C164" s="64"/>
    </row>
    <row r="165" spans="3:3" s="47" customFormat="1" ht="11.55" customHeight="1" x14ac:dyDescent="0.2">
      <c r="C165" s="64"/>
    </row>
    <row r="166" spans="3:3" s="47" customFormat="1" ht="11.55" customHeight="1" x14ac:dyDescent="0.2">
      <c r="C166" s="64"/>
    </row>
    <row r="167" spans="3:3" s="47" customFormat="1" ht="11.55" customHeight="1" x14ac:dyDescent="0.2">
      <c r="C167" s="64"/>
    </row>
    <row r="168" spans="3:3" s="47" customFormat="1" ht="11.55" customHeight="1" x14ac:dyDescent="0.2">
      <c r="C168" s="64"/>
    </row>
    <row r="169" spans="3:3" s="47" customFormat="1" ht="11.55" customHeight="1" x14ac:dyDescent="0.2">
      <c r="C169" s="64"/>
    </row>
    <row r="170" spans="3:3" s="47" customFormat="1" ht="11.55" customHeight="1" x14ac:dyDescent="0.2">
      <c r="C170" s="64"/>
    </row>
    <row r="171" spans="3:3" s="47" customFormat="1" ht="11.55" customHeight="1" x14ac:dyDescent="0.2">
      <c r="C171" s="64"/>
    </row>
    <row r="172" spans="3:3" s="47" customFormat="1" ht="11.55" customHeight="1" x14ac:dyDescent="0.2">
      <c r="C172" s="64"/>
    </row>
    <row r="173" spans="3:3" s="47" customFormat="1" ht="11.55" customHeight="1" x14ac:dyDescent="0.2">
      <c r="C173" s="64"/>
    </row>
    <row r="174" spans="3:3" s="47" customFormat="1" ht="11.55" customHeight="1" x14ac:dyDescent="0.2">
      <c r="C174" s="64"/>
    </row>
    <row r="175" spans="3:3" s="47" customFormat="1" ht="11.55" customHeight="1" x14ac:dyDescent="0.2">
      <c r="C175" s="64"/>
    </row>
    <row r="176" spans="3:3" s="47" customFormat="1" ht="11.55" customHeight="1" x14ac:dyDescent="0.2">
      <c r="C176" s="64"/>
    </row>
    <row r="177" spans="3:3" s="47" customFormat="1" ht="11.55" customHeight="1" x14ac:dyDescent="0.2">
      <c r="C177" s="64"/>
    </row>
    <row r="178" spans="3:3" s="47" customFormat="1" ht="11.55" customHeight="1" x14ac:dyDescent="0.2">
      <c r="C178" s="64"/>
    </row>
    <row r="179" spans="3:3" s="47" customFormat="1" ht="11.55" customHeight="1" x14ac:dyDescent="0.2">
      <c r="C179" s="64"/>
    </row>
    <row r="180" spans="3:3" s="47" customFormat="1" ht="11.55" customHeight="1" x14ac:dyDescent="0.2">
      <c r="C180" s="64"/>
    </row>
    <row r="181" spans="3:3" s="47" customFormat="1" ht="11.55" customHeight="1" x14ac:dyDescent="0.2">
      <c r="C181" s="64"/>
    </row>
    <row r="182" spans="3:3" s="47" customFormat="1" ht="11.55" customHeight="1" x14ac:dyDescent="0.2">
      <c r="C182" s="64"/>
    </row>
    <row r="183" spans="3:3" s="47" customFormat="1" ht="11.55" customHeight="1" x14ac:dyDescent="0.2">
      <c r="C183" s="64"/>
    </row>
    <row r="184" spans="3:3" s="47" customFormat="1" ht="11.55" customHeight="1" x14ac:dyDescent="0.2">
      <c r="C184" s="64"/>
    </row>
    <row r="185" spans="3:3" s="47" customFormat="1" ht="11.55" customHeight="1" x14ac:dyDescent="0.2">
      <c r="C185" s="64"/>
    </row>
    <row r="186" spans="3:3" s="47" customFormat="1" ht="11.55" customHeight="1" x14ac:dyDescent="0.2">
      <c r="C186" s="64"/>
    </row>
    <row r="187" spans="3:3" s="47" customFormat="1" ht="11.55" customHeight="1" x14ac:dyDescent="0.2">
      <c r="C187" s="64"/>
    </row>
    <row r="188" spans="3:3" s="47" customFormat="1" ht="11.55" customHeight="1" x14ac:dyDescent="0.2">
      <c r="C188" s="64"/>
    </row>
    <row r="189" spans="3:3" s="47" customFormat="1" ht="11.55" customHeight="1" x14ac:dyDescent="0.2">
      <c r="C189" s="64"/>
    </row>
    <row r="190" spans="3:3" s="47" customFormat="1" ht="11.55" customHeight="1" x14ac:dyDescent="0.2">
      <c r="C190" s="64"/>
    </row>
    <row r="191" spans="3:3" s="47" customFormat="1" ht="11.55" customHeight="1" x14ac:dyDescent="0.2">
      <c r="C191" s="64"/>
    </row>
    <row r="192" spans="3:3" s="47" customFormat="1" ht="11.55" customHeight="1" x14ac:dyDescent="0.2">
      <c r="C192" s="64"/>
    </row>
    <row r="193" spans="3:3" s="47" customFormat="1" ht="11.55" customHeight="1" x14ac:dyDescent="0.2">
      <c r="C193" s="64"/>
    </row>
    <row r="194" spans="3:3" s="47" customFormat="1" ht="11.55" customHeight="1" x14ac:dyDescent="0.2">
      <c r="C194" s="64"/>
    </row>
    <row r="195" spans="3:3" s="47" customFormat="1" ht="11.55" customHeight="1" x14ac:dyDescent="0.2">
      <c r="C195" s="64"/>
    </row>
    <row r="196" spans="3:3" s="47" customFormat="1" ht="11.55" customHeight="1" x14ac:dyDescent="0.2">
      <c r="C196" s="64"/>
    </row>
    <row r="197" spans="3:3" s="47" customFormat="1" ht="11.55" customHeight="1" x14ac:dyDescent="0.2">
      <c r="C197" s="64"/>
    </row>
    <row r="198" spans="3:3" s="47" customFormat="1" ht="11.55" customHeight="1" x14ac:dyDescent="0.2">
      <c r="C198" s="64"/>
    </row>
    <row r="199" spans="3:3" s="47" customFormat="1" ht="11.55" customHeight="1" x14ac:dyDescent="0.2">
      <c r="C199" s="64"/>
    </row>
    <row r="200" spans="3:3" s="47" customFormat="1" ht="11.55" customHeight="1" x14ac:dyDescent="0.2">
      <c r="C200" s="64"/>
    </row>
    <row r="201" spans="3:3" s="47" customFormat="1" ht="11.55" customHeight="1" x14ac:dyDescent="0.2">
      <c r="C201" s="64"/>
    </row>
    <row r="202" spans="3:3" s="47" customFormat="1" ht="11.55" customHeight="1" x14ac:dyDescent="0.2">
      <c r="C202" s="64"/>
    </row>
    <row r="203" spans="3:3" s="47" customFormat="1" ht="11.55" customHeight="1" x14ac:dyDescent="0.2">
      <c r="C203" s="64"/>
    </row>
    <row r="204" spans="3:3" s="47" customFormat="1" ht="11.55" customHeight="1" x14ac:dyDescent="0.2">
      <c r="C204" s="64"/>
    </row>
    <row r="205" spans="3:3" s="47" customFormat="1" ht="11.55" customHeight="1" x14ac:dyDescent="0.2">
      <c r="C205" s="64"/>
    </row>
    <row r="206" spans="3:3" s="47" customFormat="1" ht="11.55" customHeight="1" x14ac:dyDescent="0.2">
      <c r="C206" s="64"/>
    </row>
    <row r="207" spans="3:3" s="47" customFormat="1" ht="11.55" customHeight="1" x14ac:dyDescent="0.2">
      <c r="C207" s="64"/>
    </row>
    <row r="208" spans="3:3" s="47" customFormat="1" ht="11.55" customHeight="1" x14ac:dyDescent="0.2">
      <c r="C208" s="64"/>
    </row>
    <row r="209" spans="3:3" s="47" customFormat="1" ht="11.55" customHeight="1" x14ac:dyDescent="0.2">
      <c r="C209" s="64"/>
    </row>
    <row r="210" spans="3:3" s="47" customFormat="1" ht="11.55" customHeight="1" x14ac:dyDescent="0.2">
      <c r="C210" s="64"/>
    </row>
    <row r="211" spans="3:3" s="47" customFormat="1" ht="11.55" customHeight="1" x14ac:dyDescent="0.2">
      <c r="C211" s="64"/>
    </row>
    <row r="212" spans="3:3" s="47" customFormat="1" ht="11.55" customHeight="1" x14ac:dyDescent="0.2">
      <c r="C212" s="64"/>
    </row>
    <row r="213" spans="3:3" s="47" customFormat="1" ht="11.55" customHeight="1" x14ac:dyDescent="0.2">
      <c r="C213" s="64"/>
    </row>
    <row r="214" spans="3:3" s="47" customFormat="1" ht="11.55" customHeight="1" x14ac:dyDescent="0.2">
      <c r="C214" s="64"/>
    </row>
    <row r="215" spans="3:3" s="47" customFormat="1" ht="11.55" customHeight="1" x14ac:dyDescent="0.2">
      <c r="C215" s="64"/>
    </row>
    <row r="216" spans="3:3" s="47" customFormat="1" ht="11.55" customHeight="1" x14ac:dyDescent="0.2">
      <c r="C216" s="64"/>
    </row>
    <row r="217" spans="3:3" s="47" customFormat="1" ht="11.55" customHeight="1" x14ac:dyDescent="0.2">
      <c r="C217" s="64"/>
    </row>
    <row r="218" spans="3:3" s="47" customFormat="1" ht="11.55" customHeight="1" x14ac:dyDescent="0.2">
      <c r="C218" s="64"/>
    </row>
    <row r="219" spans="3:3" s="47" customFormat="1" ht="11.55" customHeight="1" x14ac:dyDescent="0.2">
      <c r="C219" s="64"/>
    </row>
    <row r="220" spans="3:3" s="47" customFormat="1" ht="11.55" customHeight="1" x14ac:dyDescent="0.2">
      <c r="C220" s="64"/>
    </row>
    <row r="221" spans="3:3" s="47" customFormat="1" ht="11.55" customHeight="1" x14ac:dyDescent="0.2">
      <c r="C221" s="64"/>
    </row>
    <row r="222" spans="3:3" s="47" customFormat="1" ht="11.55" customHeight="1" x14ac:dyDescent="0.2">
      <c r="C222" s="64"/>
    </row>
    <row r="223" spans="3:3" s="47" customFormat="1" ht="11.55" customHeight="1" x14ac:dyDescent="0.2">
      <c r="C223" s="64"/>
    </row>
    <row r="224" spans="3:3" s="47" customFormat="1" ht="11.55" customHeight="1" x14ac:dyDescent="0.2">
      <c r="C224" s="64"/>
    </row>
    <row r="225" spans="3:3" s="47" customFormat="1" ht="11.55" customHeight="1" x14ac:dyDescent="0.2">
      <c r="C225" s="64"/>
    </row>
    <row r="226" spans="3:3" s="47" customFormat="1" ht="11.55" customHeight="1" x14ac:dyDescent="0.2">
      <c r="C226" s="64"/>
    </row>
    <row r="227" spans="3:3" s="47" customFormat="1" ht="11.55" customHeight="1" x14ac:dyDescent="0.2">
      <c r="C227" s="64"/>
    </row>
    <row r="228" spans="3:3" s="47" customFormat="1" ht="11.55" customHeight="1" x14ac:dyDescent="0.2">
      <c r="C228" s="64"/>
    </row>
    <row r="229" spans="3:3" s="47" customFormat="1" ht="11.55" customHeight="1" x14ac:dyDescent="0.2">
      <c r="C229" s="64"/>
    </row>
    <row r="230" spans="3:3" s="47" customFormat="1" ht="11.55" customHeight="1" x14ac:dyDescent="0.2">
      <c r="C230" s="64"/>
    </row>
    <row r="231" spans="3:3" s="47" customFormat="1" ht="11.55" customHeight="1" x14ac:dyDescent="0.2">
      <c r="C231" s="64"/>
    </row>
    <row r="232" spans="3:3" s="47" customFormat="1" ht="11.55" customHeight="1" x14ac:dyDescent="0.2">
      <c r="C232" s="64"/>
    </row>
    <row r="233" spans="3:3" s="47" customFormat="1" ht="11.55" customHeight="1" x14ac:dyDescent="0.2">
      <c r="C233" s="64"/>
    </row>
    <row r="234" spans="3:3" s="47" customFormat="1" ht="11.55" customHeight="1" x14ac:dyDescent="0.2">
      <c r="C234" s="64"/>
    </row>
    <row r="235" spans="3:3" s="47" customFormat="1" ht="11.55" customHeight="1" x14ac:dyDescent="0.2">
      <c r="C235" s="64"/>
    </row>
    <row r="236" spans="3:3" s="47" customFormat="1" ht="11.55" customHeight="1" x14ac:dyDescent="0.2">
      <c r="C236" s="64"/>
    </row>
    <row r="237" spans="3:3" s="47" customFormat="1" ht="11.55" customHeight="1" x14ac:dyDescent="0.2">
      <c r="C237" s="64"/>
    </row>
    <row r="238" spans="3:3" s="47" customFormat="1" ht="11.55" customHeight="1" x14ac:dyDescent="0.2">
      <c r="C238" s="64"/>
    </row>
    <row r="239" spans="3:3" s="47" customFormat="1" ht="11.55" customHeight="1" x14ac:dyDescent="0.2">
      <c r="C239" s="64"/>
    </row>
    <row r="240" spans="3:3" s="47" customFormat="1" ht="11.55" customHeight="1" x14ac:dyDescent="0.2">
      <c r="C240" s="64"/>
    </row>
    <row r="241" spans="3:3" s="47" customFormat="1" ht="11.55" customHeight="1" x14ac:dyDescent="0.2">
      <c r="C241" s="64"/>
    </row>
    <row r="242" spans="3:3" s="47" customFormat="1" ht="11.55" customHeight="1" x14ac:dyDescent="0.2">
      <c r="C242" s="64"/>
    </row>
    <row r="243" spans="3:3" s="47" customFormat="1" ht="11.55" customHeight="1" x14ac:dyDescent="0.2">
      <c r="C243" s="64"/>
    </row>
    <row r="244" spans="3:3" s="47" customFormat="1" ht="11.4" x14ac:dyDescent="0.2">
      <c r="C244" s="64"/>
    </row>
    <row r="245" spans="3:3" s="47" customFormat="1" ht="11.4" x14ac:dyDescent="0.2">
      <c r="C245" s="64"/>
    </row>
    <row r="246" spans="3:3" s="47" customFormat="1" ht="11.4" x14ac:dyDescent="0.2">
      <c r="C246" s="64"/>
    </row>
    <row r="247" spans="3:3" s="47" customFormat="1" ht="11.4" x14ac:dyDescent="0.2">
      <c r="C247" s="64"/>
    </row>
    <row r="248" spans="3:3" s="47" customFormat="1" ht="11.4" x14ac:dyDescent="0.2">
      <c r="C248" s="64"/>
    </row>
    <row r="249" spans="3:3" s="47" customFormat="1" ht="11.4" x14ac:dyDescent="0.2">
      <c r="C249" s="64"/>
    </row>
    <row r="250" spans="3:3" s="47" customFormat="1" ht="11.4" x14ac:dyDescent="0.2">
      <c r="C250" s="64"/>
    </row>
    <row r="251" spans="3:3" s="47" customFormat="1" ht="11.4" x14ac:dyDescent="0.2">
      <c r="C251" s="64"/>
    </row>
    <row r="252" spans="3:3" s="47" customFormat="1" ht="11.4" x14ac:dyDescent="0.2">
      <c r="C252" s="64"/>
    </row>
    <row r="253" spans="3:3" s="47" customFormat="1" ht="11.4" x14ac:dyDescent="0.2">
      <c r="C253" s="64"/>
    </row>
    <row r="254" spans="3:3" s="47" customFormat="1" ht="11.4" x14ac:dyDescent="0.2">
      <c r="C254" s="64"/>
    </row>
    <row r="255" spans="3:3" s="47" customFormat="1" ht="11.4" x14ac:dyDescent="0.2">
      <c r="C255" s="64"/>
    </row>
    <row r="256" spans="3:3" s="47" customFormat="1" ht="11.4" x14ac:dyDescent="0.2">
      <c r="C256" s="64"/>
    </row>
    <row r="257" spans="3:3" s="47" customFormat="1" ht="11.4" x14ac:dyDescent="0.2">
      <c r="C257" s="64"/>
    </row>
    <row r="258" spans="3:3" s="47" customFormat="1" ht="11.4" x14ac:dyDescent="0.2">
      <c r="C258" s="64"/>
    </row>
    <row r="259" spans="3:3" s="47" customFormat="1" ht="11.4" x14ac:dyDescent="0.2">
      <c r="C259" s="64"/>
    </row>
    <row r="260" spans="3:3" s="47" customFormat="1" ht="11.4" x14ac:dyDescent="0.2">
      <c r="C260" s="64"/>
    </row>
    <row r="261" spans="3:3" s="47" customFormat="1" ht="11.4" x14ac:dyDescent="0.2">
      <c r="C261" s="64"/>
    </row>
    <row r="262" spans="3:3" s="47" customFormat="1" ht="11.4" x14ac:dyDescent="0.2">
      <c r="C262" s="64"/>
    </row>
    <row r="263" spans="3:3" s="47" customFormat="1" ht="11.4" x14ac:dyDescent="0.2">
      <c r="C263" s="64"/>
    </row>
    <row r="264" spans="3:3" s="47" customFormat="1" ht="11.4" x14ac:dyDescent="0.2">
      <c r="C264" s="64"/>
    </row>
    <row r="265" spans="3:3" s="47" customFormat="1" ht="11.4" x14ac:dyDescent="0.2">
      <c r="C265" s="64"/>
    </row>
    <row r="266" spans="3:3" s="47" customFormat="1" ht="11.4" x14ac:dyDescent="0.2">
      <c r="C266" s="64"/>
    </row>
    <row r="267" spans="3:3" s="47" customFormat="1" ht="11.4" x14ac:dyDescent="0.2">
      <c r="C267" s="64"/>
    </row>
    <row r="268" spans="3:3" s="47" customFormat="1" ht="11.4" x14ac:dyDescent="0.2">
      <c r="C268" s="64"/>
    </row>
    <row r="269" spans="3:3" s="47" customFormat="1" ht="11.4" x14ac:dyDescent="0.2">
      <c r="C269" s="64"/>
    </row>
    <row r="270" spans="3:3" s="47" customFormat="1" ht="11.4" x14ac:dyDescent="0.2">
      <c r="C270" s="64"/>
    </row>
    <row r="271" spans="3:3" s="47" customFormat="1" ht="11.4" x14ac:dyDescent="0.2">
      <c r="C271" s="64"/>
    </row>
    <row r="272" spans="3:3" s="47" customFormat="1" ht="11.4" x14ac:dyDescent="0.2">
      <c r="C272" s="64"/>
    </row>
    <row r="273" spans="3:3" s="47" customFormat="1" ht="11.4" x14ac:dyDescent="0.2">
      <c r="C273" s="64"/>
    </row>
    <row r="274" spans="3:3" s="47" customFormat="1" ht="11.4" x14ac:dyDescent="0.2">
      <c r="C274" s="64"/>
    </row>
    <row r="275" spans="3:3" s="47" customFormat="1" ht="11.4" x14ac:dyDescent="0.2">
      <c r="C275" s="64"/>
    </row>
    <row r="276" spans="3:3" s="47" customFormat="1" ht="11.4" x14ac:dyDescent="0.2">
      <c r="C276" s="64"/>
    </row>
    <row r="277" spans="3:3" s="47" customFormat="1" ht="11.4" x14ac:dyDescent="0.2">
      <c r="C277" s="64"/>
    </row>
    <row r="278" spans="3:3" s="47" customFormat="1" ht="11.4" x14ac:dyDescent="0.2">
      <c r="C278" s="64"/>
    </row>
    <row r="279" spans="3:3" s="47" customFormat="1" ht="11.4" x14ac:dyDescent="0.2">
      <c r="C279" s="64"/>
    </row>
    <row r="280" spans="3:3" s="47" customFormat="1" ht="11.4" x14ac:dyDescent="0.2">
      <c r="C280" s="64"/>
    </row>
    <row r="281" spans="3:3" s="47" customFormat="1" ht="11.4" x14ac:dyDescent="0.2">
      <c r="C281" s="64"/>
    </row>
    <row r="282" spans="3:3" s="47" customFormat="1" ht="11.4" x14ac:dyDescent="0.2">
      <c r="C282" s="64"/>
    </row>
    <row r="283" spans="3:3" s="47" customFormat="1" ht="11.4" x14ac:dyDescent="0.2">
      <c r="C283" s="64"/>
    </row>
    <row r="284" spans="3:3" s="47" customFormat="1" ht="11.4" x14ac:dyDescent="0.2">
      <c r="C284" s="64"/>
    </row>
    <row r="285" spans="3:3" s="47" customFormat="1" ht="11.4" x14ac:dyDescent="0.2">
      <c r="C285" s="64"/>
    </row>
    <row r="286" spans="3:3" s="47" customFormat="1" ht="11.4" x14ac:dyDescent="0.2">
      <c r="C286" s="64"/>
    </row>
    <row r="287" spans="3:3" s="47" customFormat="1" ht="11.4" x14ac:dyDescent="0.2">
      <c r="C287" s="64"/>
    </row>
    <row r="288" spans="3:3" s="47" customFormat="1" ht="11.4" x14ac:dyDescent="0.2">
      <c r="C288" s="64"/>
    </row>
  </sheetData>
  <mergeCells count="10">
    <mergeCell ref="A98:B98"/>
    <mergeCell ref="A99:P99"/>
    <mergeCell ref="A100:E100"/>
    <mergeCell ref="A4:P4"/>
    <mergeCell ref="A5:P5"/>
    <mergeCell ref="A6:A8"/>
    <mergeCell ref="B6:B8"/>
    <mergeCell ref="C6:O6"/>
    <mergeCell ref="P6:P8"/>
    <mergeCell ref="C7:O7"/>
  </mergeCells>
  <printOptions horizontalCentered="1" verticalCentered="1"/>
  <pageMargins left="0" right="0" top="0" bottom="0" header="0" footer="0"/>
  <pageSetup paperSize="9" scale="5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CB88-25F0-4BC0-8E21-56FC58FEE0E6}">
  <sheetPr>
    <tabColor theme="6" tint="0.39997558519241921"/>
    <pageSetUpPr fitToPage="1"/>
  </sheetPr>
  <dimension ref="A1:Q250"/>
  <sheetViews>
    <sheetView showGridLines="0" topLeftCell="A82" zoomScaleNormal="100" zoomScaleSheetLayoutView="90" workbookViewId="0">
      <selection activeCell="B18" sqref="B18"/>
    </sheetView>
  </sheetViews>
  <sheetFormatPr defaultColWidth="10.109375" defaultRowHeight="13.2" x14ac:dyDescent="0.25"/>
  <cols>
    <col min="1" max="1" width="5.21875" style="47" customWidth="1"/>
    <col min="2" max="2" width="46.44140625" style="48" customWidth="1"/>
    <col min="3" max="3" width="11.77734375" style="49" customWidth="1"/>
    <col min="4" max="16" width="11.77734375" style="48" customWidth="1"/>
    <col min="17" max="16384" width="10.109375" style="48"/>
  </cols>
  <sheetData>
    <row r="1" spans="1:17" ht="15" customHeight="1" x14ac:dyDescent="0.25"/>
    <row r="2" spans="1:17" ht="15" customHeight="1" x14ac:dyDescent="0.25"/>
    <row r="3" spans="1:17" ht="15" customHeight="1" x14ac:dyDescent="0.25"/>
    <row r="4" spans="1:17" ht="20.100000000000001" customHeight="1" x14ac:dyDescent="0.25">
      <c r="A4" s="73" t="s">
        <v>268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1:17" ht="20.100000000000001" customHeight="1" x14ac:dyDescent="0.25">
      <c r="A5" s="74" t="s">
        <v>269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1:17" s="47" customFormat="1" ht="25.05" customHeight="1" x14ac:dyDescent="0.2">
      <c r="A6" s="75" t="s">
        <v>70</v>
      </c>
      <c r="B6" s="76" t="s">
        <v>71</v>
      </c>
      <c r="C6" s="78" t="s">
        <v>270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9" t="s">
        <v>73</v>
      </c>
    </row>
    <row r="7" spans="1:17" s="47" customFormat="1" ht="25.05" customHeight="1" x14ac:dyDescent="0.2">
      <c r="A7" s="75"/>
      <c r="B7" s="77"/>
      <c r="C7" s="78" t="s">
        <v>74</v>
      </c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80"/>
    </row>
    <row r="8" spans="1:17" s="47" customFormat="1" ht="25.05" customHeight="1" x14ac:dyDescent="0.2">
      <c r="A8" s="75"/>
      <c r="B8" s="77"/>
      <c r="C8" s="50" t="s">
        <v>75</v>
      </c>
      <c r="D8" s="51" t="s">
        <v>76</v>
      </c>
      <c r="E8" s="52" t="s">
        <v>77</v>
      </c>
      <c r="F8" s="52" t="s">
        <v>78</v>
      </c>
      <c r="G8" s="52" t="s">
        <v>79</v>
      </c>
      <c r="H8" s="52" t="s">
        <v>80</v>
      </c>
      <c r="I8" s="52" t="s">
        <v>81</v>
      </c>
      <c r="J8" s="52" t="s">
        <v>82</v>
      </c>
      <c r="K8" s="52" t="s">
        <v>83</v>
      </c>
      <c r="L8" s="52" t="s">
        <v>84</v>
      </c>
      <c r="M8" s="52" t="s">
        <v>85</v>
      </c>
      <c r="N8" s="52" t="s">
        <v>86</v>
      </c>
      <c r="O8" s="52" t="s">
        <v>87</v>
      </c>
      <c r="P8" s="80"/>
    </row>
    <row r="9" spans="1:17" s="47" customFormat="1" ht="15" customHeight="1" x14ac:dyDescent="0.2">
      <c r="A9" s="53" t="s">
        <v>88</v>
      </c>
      <c r="B9" s="54" t="s">
        <v>89</v>
      </c>
      <c r="C9" s="55">
        <v>8459</v>
      </c>
      <c r="D9" s="55">
        <v>13431</v>
      </c>
      <c r="E9" s="55">
        <v>11401</v>
      </c>
      <c r="F9" s="55">
        <v>7298</v>
      </c>
      <c r="G9" s="55">
        <v>15362</v>
      </c>
      <c r="H9" s="55">
        <v>9647</v>
      </c>
      <c r="I9" s="55">
        <v>12527</v>
      </c>
      <c r="J9" s="55">
        <v>14646</v>
      </c>
      <c r="K9" s="55">
        <v>15565</v>
      </c>
      <c r="L9" s="55">
        <v>4848</v>
      </c>
      <c r="M9" s="55">
        <v>2524</v>
      </c>
      <c r="N9" s="55">
        <v>0</v>
      </c>
      <c r="O9" s="55">
        <v>0</v>
      </c>
      <c r="P9" s="56">
        <f>SUM(C9:O9)</f>
        <v>115708</v>
      </c>
      <c r="Q9" s="57"/>
    </row>
    <row r="10" spans="1:17" s="47" customFormat="1" ht="15" customHeight="1" x14ac:dyDescent="0.2">
      <c r="A10" s="58" t="s">
        <v>90</v>
      </c>
      <c r="B10" s="59" t="s">
        <v>91</v>
      </c>
      <c r="C10" s="60">
        <v>870</v>
      </c>
      <c r="D10" s="60">
        <v>1832</v>
      </c>
      <c r="E10" s="60">
        <v>2358</v>
      </c>
      <c r="F10" s="60">
        <v>1584</v>
      </c>
      <c r="G10" s="60">
        <v>3319</v>
      </c>
      <c r="H10" s="60">
        <v>1941</v>
      </c>
      <c r="I10" s="60">
        <v>3428</v>
      </c>
      <c r="J10" s="60">
        <v>10717</v>
      </c>
      <c r="K10" s="60">
        <v>5416</v>
      </c>
      <c r="L10" s="60">
        <v>1092</v>
      </c>
      <c r="M10" s="60">
        <v>0</v>
      </c>
      <c r="N10" s="60">
        <v>0</v>
      </c>
      <c r="O10" s="60">
        <v>0</v>
      </c>
      <c r="P10" s="61">
        <f t="shared" ref="P10:P73" si="0">SUM(C10:O10)</f>
        <v>32557</v>
      </c>
    </row>
    <row r="11" spans="1:17" s="47" customFormat="1" ht="15" customHeight="1" x14ac:dyDescent="0.2">
      <c r="A11" s="53" t="s">
        <v>92</v>
      </c>
      <c r="B11" s="54" t="s">
        <v>93</v>
      </c>
      <c r="C11" s="55">
        <v>391</v>
      </c>
      <c r="D11" s="55">
        <v>1073</v>
      </c>
      <c r="E11" s="55">
        <v>1164</v>
      </c>
      <c r="F11" s="55">
        <v>764</v>
      </c>
      <c r="G11" s="55">
        <v>2845</v>
      </c>
      <c r="H11" s="55">
        <v>3263</v>
      </c>
      <c r="I11" s="55">
        <v>2433</v>
      </c>
      <c r="J11" s="55">
        <v>1498</v>
      </c>
      <c r="K11" s="55">
        <v>1591</v>
      </c>
      <c r="L11" s="55">
        <v>320</v>
      </c>
      <c r="M11" s="55">
        <v>0</v>
      </c>
      <c r="N11" s="55">
        <v>0</v>
      </c>
      <c r="O11" s="55">
        <v>0</v>
      </c>
      <c r="P11" s="56">
        <f t="shared" si="0"/>
        <v>15342</v>
      </c>
    </row>
    <row r="12" spans="1:17" s="62" customFormat="1" ht="15" customHeight="1" x14ac:dyDescent="0.25">
      <c r="A12" s="58" t="s">
        <v>94</v>
      </c>
      <c r="B12" s="59" t="s">
        <v>95</v>
      </c>
      <c r="C12" s="60">
        <v>75</v>
      </c>
      <c r="D12" s="60">
        <v>144</v>
      </c>
      <c r="E12" s="60">
        <v>226</v>
      </c>
      <c r="F12" s="60">
        <v>225</v>
      </c>
      <c r="G12" s="60">
        <v>786</v>
      </c>
      <c r="H12" s="60">
        <v>764</v>
      </c>
      <c r="I12" s="60">
        <v>1389</v>
      </c>
      <c r="J12" s="60">
        <v>1814</v>
      </c>
      <c r="K12" s="60">
        <v>4577</v>
      </c>
      <c r="L12" s="60">
        <v>3812</v>
      </c>
      <c r="M12" s="60">
        <v>2581</v>
      </c>
      <c r="N12" s="60">
        <v>2755</v>
      </c>
      <c r="O12" s="60">
        <v>18299</v>
      </c>
      <c r="P12" s="61">
        <f t="shared" si="0"/>
        <v>37447</v>
      </c>
    </row>
    <row r="13" spans="1:17" s="47" customFormat="1" ht="15" customHeight="1" x14ac:dyDescent="0.2">
      <c r="A13" s="53" t="s">
        <v>96</v>
      </c>
      <c r="B13" s="54" t="s">
        <v>97</v>
      </c>
      <c r="C13" s="55">
        <v>3</v>
      </c>
      <c r="D13" s="55">
        <v>8</v>
      </c>
      <c r="E13" s="55">
        <v>22</v>
      </c>
      <c r="F13" s="55">
        <v>31</v>
      </c>
      <c r="G13" s="55">
        <v>29</v>
      </c>
      <c r="H13" s="55">
        <v>46</v>
      </c>
      <c r="I13" s="55">
        <v>208</v>
      </c>
      <c r="J13" s="55">
        <v>143</v>
      </c>
      <c r="K13" s="55">
        <v>685</v>
      </c>
      <c r="L13" s="55">
        <v>428</v>
      </c>
      <c r="M13" s="55">
        <v>0</v>
      </c>
      <c r="N13" s="55">
        <v>803</v>
      </c>
      <c r="O13" s="55">
        <v>0</v>
      </c>
      <c r="P13" s="56">
        <f t="shared" si="0"/>
        <v>2406</v>
      </c>
    </row>
    <row r="14" spans="1:17" s="47" customFormat="1" ht="15" customHeight="1" x14ac:dyDescent="0.2">
      <c r="A14" s="58" t="s">
        <v>98</v>
      </c>
      <c r="B14" s="59" t="s">
        <v>99</v>
      </c>
      <c r="C14" s="60">
        <v>202</v>
      </c>
      <c r="D14" s="60">
        <v>381</v>
      </c>
      <c r="E14" s="60">
        <v>501</v>
      </c>
      <c r="F14" s="60">
        <v>487</v>
      </c>
      <c r="G14" s="60">
        <v>1326</v>
      </c>
      <c r="H14" s="60">
        <v>1188</v>
      </c>
      <c r="I14" s="60">
        <v>1610</v>
      </c>
      <c r="J14" s="60">
        <v>2739</v>
      </c>
      <c r="K14" s="60">
        <v>5587</v>
      </c>
      <c r="L14" s="60">
        <v>8558</v>
      </c>
      <c r="M14" s="60">
        <v>5125</v>
      </c>
      <c r="N14" s="60">
        <v>2539</v>
      </c>
      <c r="O14" s="60">
        <v>2201</v>
      </c>
      <c r="P14" s="61">
        <f t="shared" si="0"/>
        <v>32444</v>
      </c>
    </row>
    <row r="15" spans="1:17" s="47" customFormat="1" ht="15" customHeight="1" x14ac:dyDescent="0.2">
      <c r="A15" s="53" t="s">
        <v>100</v>
      </c>
      <c r="B15" s="54" t="s">
        <v>101</v>
      </c>
      <c r="C15" s="55">
        <v>1208</v>
      </c>
      <c r="D15" s="55">
        <v>2711</v>
      </c>
      <c r="E15" s="55">
        <v>4332</v>
      </c>
      <c r="F15" s="55">
        <v>4231</v>
      </c>
      <c r="G15" s="55">
        <v>11294</v>
      </c>
      <c r="H15" s="55">
        <v>7514</v>
      </c>
      <c r="I15" s="55">
        <v>7651</v>
      </c>
      <c r="J15" s="55">
        <v>6520</v>
      </c>
      <c r="K15" s="55">
        <v>5564</v>
      </c>
      <c r="L15" s="55">
        <v>1559</v>
      </c>
      <c r="M15" s="55">
        <v>1863</v>
      </c>
      <c r="N15" s="55">
        <v>0</v>
      </c>
      <c r="O15" s="55">
        <v>2590</v>
      </c>
      <c r="P15" s="56">
        <f t="shared" si="0"/>
        <v>57037</v>
      </c>
    </row>
    <row r="16" spans="1:17" s="47" customFormat="1" ht="15" customHeight="1" x14ac:dyDescent="0.2">
      <c r="A16" s="58" t="s">
        <v>102</v>
      </c>
      <c r="B16" s="59" t="s">
        <v>103</v>
      </c>
      <c r="C16" s="60">
        <v>151</v>
      </c>
      <c r="D16" s="60">
        <v>308</v>
      </c>
      <c r="E16" s="60">
        <v>526</v>
      </c>
      <c r="F16" s="60">
        <v>410</v>
      </c>
      <c r="G16" s="60">
        <v>1144</v>
      </c>
      <c r="H16" s="60">
        <v>1161</v>
      </c>
      <c r="I16" s="60">
        <v>2329</v>
      </c>
      <c r="J16" s="60">
        <v>1861</v>
      </c>
      <c r="K16" s="60">
        <v>2468</v>
      </c>
      <c r="L16" s="60">
        <v>2753</v>
      </c>
      <c r="M16" s="60">
        <v>0</v>
      </c>
      <c r="N16" s="60">
        <v>0</v>
      </c>
      <c r="O16" s="60">
        <v>0</v>
      </c>
      <c r="P16" s="61">
        <f t="shared" si="0"/>
        <v>13111</v>
      </c>
    </row>
    <row r="17" spans="1:16" s="47" customFormat="1" ht="15" customHeight="1" x14ac:dyDescent="0.2">
      <c r="A17" s="53" t="s">
        <v>104</v>
      </c>
      <c r="B17" s="54" t="s">
        <v>105</v>
      </c>
      <c r="C17" s="55">
        <v>11926</v>
      </c>
      <c r="D17" s="55">
        <v>35054</v>
      </c>
      <c r="E17" s="55">
        <v>46432</v>
      </c>
      <c r="F17" s="55">
        <v>34152</v>
      </c>
      <c r="G17" s="55">
        <v>62378</v>
      </c>
      <c r="H17" s="55">
        <v>34703</v>
      </c>
      <c r="I17" s="55">
        <v>42134</v>
      </c>
      <c r="J17" s="55">
        <v>52741</v>
      </c>
      <c r="K17" s="55">
        <v>70602</v>
      </c>
      <c r="L17" s="55">
        <v>57486</v>
      </c>
      <c r="M17" s="55">
        <v>30210</v>
      </c>
      <c r="N17" s="55">
        <v>22383</v>
      </c>
      <c r="O17" s="55">
        <v>37883</v>
      </c>
      <c r="P17" s="56">
        <f t="shared" si="0"/>
        <v>538084</v>
      </c>
    </row>
    <row r="18" spans="1:16" s="47" customFormat="1" ht="15" customHeight="1" x14ac:dyDescent="0.2">
      <c r="A18" s="58" t="s">
        <v>106</v>
      </c>
      <c r="B18" s="59" t="s">
        <v>107</v>
      </c>
      <c r="C18" s="60">
        <v>114</v>
      </c>
      <c r="D18" s="60">
        <v>345</v>
      </c>
      <c r="E18" s="60">
        <v>517</v>
      </c>
      <c r="F18" s="60">
        <v>489</v>
      </c>
      <c r="G18" s="60">
        <v>1587</v>
      </c>
      <c r="H18" s="60">
        <v>1312</v>
      </c>
      <c r="I18" s="60">
        <v>1783</v>
      </c>
      <c r="J18" s="60">
        <v>4240</v>
      </c>
      <c r="K18" s="60">
        <v>4929</v>
      </c>
      <c r="L18" s="60">
        <v>1653</v>
      </c>
      <c r="M18" s="60">
        <v>0</v>
      </c>
      <c r="N18" s="60">
        <v>0</v>
      </c>
      <c r="O18" s="60">
        <v>0</v>
      </c>
      <c r="P18" s="61">
        <f t="shared" si="0"/>
        <v>16969</v>
      </c>
    </row>
    <row r="19" spans="1:16" s="47" customFormat="1" ht="15" customHeight="1" x14ac:dyDescent="0.2">
      <c r="A19" s="53" t="s">
        <v>108</v>
      </c>
      <c r="B19" s="54" t="s">
        <v>109</v>
      </c>
      <c r="C19" s="55">
        <v>17</v>
      </c>
      <c r="D19" s="55">
        <v>45</v>
      </c>
      <c r="E19" s="55">
        <v>38</v>
      </c>
      <c r="F19" s="55">
        <v>87</v>
      </c>
      <c r="G19" s="55">
        <v>330</v>
      </c>
      <c r="H19" s="55">
        <v>160</v>
      </c>
      <c r="I19" s="55">
        <v>225</v>
      </c>
      <c r="J19" s="55">
        <v>270</v>
      </c>
      <c r="K19" s="55">
        <v>1836</v>
      </c>
      <c r="L19" s="55">
        <v>426</v>
      </c>
      <c r="M19" s="55">
        <v>718</v>
      </c>
      <c r="N19" s="55">
        <v>873</v>
      </c>
      <c r="O19" s="55">
        <v>1046</v>
      </c>
      <c r="P19" s="56">
        <f t="shared" si="0"/>
        <v>6071</v>
      </c>
    </row>
    <row r="20" spans="1:16" s="62" customFormat="1" ht="15" customHeight="1" x14ac:dyDescent="0.25">
      <c r="A20" s="58" t="s">
        <v>110</v>
      </c>
      <c r="B20" s="59" t="s">
        <v>111</v>
      </c>
      <c r="C20" s="60">
        <v>5035</v>
      </c>
      <c r="D20" s="60">
        <v>11639</v>
      </c>
      <c r="E20" s="60">
        <v>15098</v>
      </c>
      <c r="F20" s="60">
        <v>11296</v>
      </c>
      <c r="G20" s="60">
        <v>25906</v>
      </c>
      <c r="H20" s="60">
        <v>19330</v>
      </c>
      <c r="I20" s="60">
        <v>29219</v>
      </c>
      <c r="J20" s="60">
        <v>47102</v>
      </c>
      <c r="K20" s="60">
        <v>91500</v>
      </c>
      <c r="L20" s="60">
        <v>64965</v>
      </c>
      <c r="M20" s="60">
        <v>22919</v>
      </c>
      <c r="N20" s="60">
        <v>13182</v>
      </c>
      <c r="O20" s="60">
        <v>27520</v>
      </c>
      <c r="P20" s="61">
        <f t="shared" si="0"/>
        <v>384711</v>
      </c>
    </row>
    <row r="21" spans="1:16" s="47" customFormat="1" ht="15" customHeight="1" x14ac:dyDescent="0.2">
      <c r="A21" s="53" t="s">
        <v>112</v>
      </c>
      <c r="B21" s="54" t="s">
        <v>113</v>
      </c>
      <c r="C21" s="55">
        <v>10013</v>
      </c>
      <c r="D21" s="55">
        <v>25657</v>
      </c>
      <c r="E21" s="55">
        <v>32822</v>
      </c>
      <c r="F21" s="55">
        <v>24228</v>
      </c>
      <c r="G21" s="55">
        <v>49642</v>
      </c>
      <c r="H21" s="55">
        <v>31745</v>
      </c>
      <c r="I21" s="55">
        <v>50109</v>
      </c>
      <c r="J21" s="55">
        <v>107333</v>
      </c>
      <c r="K21" s="55">
        <v>144434</v>
      </c>
      <c r="L21" s="55">
        <v>56445</v>
      </c>
      <c r="M21" s="55">
        <v>18530</v>
      </c>
      <c r="N21" s="55">
        <v>10547</v>
      </c>
      <c r="O21" s="55">
        <v>13179</v>
      </c>
      <c r="P21" s="56">
        <f t="shared" si="0"/>
        <v>574684</v>
      </c>
    </row>
    <row r="22" spans="1:16" s="47" customFormat="1" ht="15" customHeight="1" x14ac:dyDescent="0.2">
      <c r="A22" s="58" t="s">
        <v>114</v>
      </c>
      <c r="B22" s="59" t="s">
        <v>115</v>
      </c>
      <c r="C22" s="60">
        <v>2172</v>
      </c>
      <c r="D22" s="60">
        <v>5305</v>
      </c>
      <c r="E22" s="60">
        <v>6040</v>
      </c>
      <c r="F22" s="60">
        <v>4708</v>
      </c>
      <c r="G22" s="60">
        <v>8579</v>
      </c>
      <c r="H22" s="60">
        <v>5906</v>
      </c>
      <c r="I22" s="60">
        <v>6319</v>
      </c>
      <c r="J22" s="60">
        <v>7236</v>
      </c>
      <c r="K22" s="60">
        <v>7494</v>
      </c>
      <c r="L22" s="60">
        <v>4233</v>
      </c>
      <c r="M22" s="60">
        <v>3704</v>
      </c>
      <c r="N22" s="60">
        <v>792</v>
      </c>
      <c r="O22" s="60">
        <v>0</v>
      </c>
      <c r="P22" s="61">
        <f t="shared" si="0"/>
        <v>62488</v>
      </c>
    </row>
    <row r="23" spans="1:16" s="47" customFormat="1" ht="15" customHeight="1" x14ac:dyDescent="0.2">
      <c r="A23" s="53" t="s">
        <v>116</v>
      </c>
      <c r="B23" s="54" t="s">
        <v>117</v>
      </c>
      <c r="C23" s="55">
        <v>4708</v>
      </c>
      <c r="D23" s="55">
        <v>8577</v>
      </c>
      <c r="E23" s="55">
        <v>7903</v>
      </c>
      <c r="F23" s="55">
        <v>5070</v>
      </c>
      <c r="G23" s="55">
        <v>9389</v>
      </c>
      <c r="H23" s="55">
        <v>5393</v>
      </c>
      <c r="I23" s="55">
        <v>5229</v>
      </c>
      <c r="J23" s="55">
        <v>6159</v>
      </c>
      <c r="K23" s="55">
        <v>3844</v>
      </c>
      <c r="L23" s="55">
        <v>5125</v>
      </c>
      <c r="M23" s="55">
        <v>3277</v>
      </c>
      <c r="N23" s="55">
        <v>959</v>
      </c>
      <c r="O23" s="55">
        <v>1008</v>
      </c>
      <c r="P23" s="56">
        <f t="shared" si="0"/>
        <v>66641</v>
      </c>
    </row>
    <row r="24" spans="1:16" s="47" customFormat="1" ht="15" customHeight="1" x14ac:dyDescent="0.2">
      <c r="A24" s="58" t="s">
        <v>118</v>
      </c>
      <c r="B24" s="59" t="s">
        <v>119</v>
      </c>
      <c r="C24" s="60">
        <v>857</v>
      </c>
      <c r="D24" s="60">
        <v>2186</v>
      </c>
      <c r="E24" s="60">
        <v>3230</v>
      </c>
      <c r="F24" s="60">
        <v>2548</v>
      </c>
      <c r="G24" s="60">
        <v>6207</v>
      </c>
      <c r="H24" s="60">
        <v>4504</v>
      </c>
      <c r="I24" s="60">
        <v>6405</v>
      </c>
      <c r="J24" s="60">
        <v>10881</v>
      </c>
      <c r="K24" s="60">
        <v>17598</v>
      </c>
      <c r="L24" s="60">
        <v>8659</v>
      </c>
      <c r="M24" s="60">
        <v>3024</v>
      </c>
      <c r="N24" s="60">
        <v>885</v>
      </c>
      <c r="O24" s="60">
        <v>1453</v>
      </c>
      <c r="P24" s="61">
        <f t="shared" si="0"/>
        <v>68437</v>
      </c>
    </row>
    <row r="25" spans="1:16" s="47" customFormat="1" ht="15" customHeight="1" x14ac:dyDescent="0.2">
      <c r="A25" s="53" t="s">
        <v>120</v>
      </c>
      <c r="B25" s="54" t="s">
        <v>121</v>
      </c>
      <c r="C25" s="55">
        <v>2419</v>
      </c>
      <c r="D25" s="55">
        <v>4864</v>
      </c>
      <c r="E25" s="55">
        <v>4782</v>
      </c>
      <c r="F25" s="55">
        <v>2963</v>
      </c>
      <c r="G25" s="55">
        <v>5051</v>
      </c>
      <c r="H25" s="55">
        <v>3117</v>
      </c>
      <c r="I25" s="55">
        <v>3913</v>
      </c>
      <c r="J25" s="55">
        <v>3985</v>
      </c>
      <c r="K25" s="55">
        <v>5324</v>
      </c>
      <c r="L25" s="55">
        <v>2742</v>
      </c>
      <c r="M25" s="55">
        <v>0</v>
      </c>
      <c r="N25" s="55">
        <v>873</v>
      </c>
      <c r="O25" s="55">
        <v>0</v>
      </c>
      <c r="P25" s="56">
        <f t="shared" si="0"/>
        <v>40033</v>
      </c>
    </row>
    <row r="26" spans="1:16" s="47" customFormat="1" ht="15" customHeight="1" x14ac:dyDescent="0.2">
      <c r="A26" s="58" t="s">
        <v>122</v>
      </c>
      <c r="B26" s="59" t="s">
        <v>123</v>
      </c>
      <c r="C26" s="60">
        <v>59</v>
      </c>
      <c r="D26" s="60">
        <v>138</v>
      </c>
      <c r="E26" s="60">
        <v>285</v>
      </c>
      <c r="F26" s="60">
        <v>175</v>
      </c>
      <c r="G26" s="60">
        <v>607</v>
      </c>
      <c r="H26" s="60">
        <v>308</v>
      </c>
      <c r="I26" s="60">
        <v>650</v>
      </c>
      <c r="J26" s="60">
        <v>692</v>
      </c>
      <c r="K26" s="60">
        <v>395</v>
      </c>
      <c r="L26" s="60">
        <v>417</v>
      </c>
      <c r="M26" s="60">
        <v>0</v>
      </c>
      <c r="N26" s="60">
        <v>933</v>
      </c>
      <c r="O26" s="60">
        <v>4270</v>
      </c>
      <c r="P26" s="61">
        <f t="shared" si="0"/>
        <v>8929</v>
      </c>
    </row>
    <row r="27" spans="1:16" s="47" customFormat="1" ht="15" customHeight="1" x14ac:dyDescent="0.2">
      <c r="A27" s="53" t="s">
        <v>124</v>
      </c>
      <c r="B27" s="54" t="s">
        <v>125</v>
      </c>
      <c r="C27" s="55">
        <v>1899</v>
      </c>
      <c r="D27" s="55">
        <v>4696</v>
      </c>
      <c r="E27" s="55">
        <v>5759</v>
      </c>
      <c r="F27" s="55">
        <v>4224</v>
      </c>
      <c r="G27" s="55">
        <v>9973</v>
      </c>
      <c r="H27" s="55">
        <v>7401</v>
      </c>
      <c r="I27" s="55">
        <v>9781</v>
      </c>
      <c r="J27" s="55">
        <v>13928</v>
      </c>
      <c r="K27" s="55">
        <v>23766</v>
      </c>
      <c r="L27" s="55">
        <v>12598</v>
      </c>
      <c r="M27" s="55">
        <v>4882</v>
      </c>
      <c r="N27" s="55">
        <v>1748</v>
      </c>
      <c r="O27" s="55">
        <v>6796</v>
      </c>
      <c r="P27" s="56">
        <f t="shared" si="0"/>
        <v>107451</v>
      </c>
    </row>
    <row r="28" spans="1:16" s="47" customFormat="1" ht="15" customHeight="1" x14ac:dyDescent="0.2">
      <c r="A28" s="58" t="s">
        <v>126</v>
      </c>
      <c r="B28" s="59" t="s">
        <v>127</v>
      </c>
      <c r="C28" s="60">
        <v>166</v>
      </c>
      <c r="D28" s="60">
        <v>429</v>
      </c>
      <c r="E28" s="60">
        <v>530</v>
      </c>
      <c r="F28" s="60">
        <v>426</v>
      </c>
      <c r="G28" s="60">
        <v>1349</v>
      </c>
      <c r="H28" s="60">
        <v>1277</v>
      </c>
      <c r="I28" s="60">
        <v>2231</v>
      </c>
      <c r="J28" s="60">
        <v>3530</v>
      </c>
      <c r="K28" s="60">
        <v>7134</v>
      </c>
      <c r="L28" s="60">
        <v>6981</v>
      </c>
      <c r="M28" s="60">
        <v>4735</v>
      </c>
      <c r="N28" s="60">
        <v>5743</v>
      </c>
      <c r="O28" s="60">
        <v>7008</v>
      </c>
      <c r="P28" s="61">
        <f t="shared" si="0"/>
        <v>41539</v>
      </c>
    </row>
    <row r="29" spans="1:16" s="47" customFormat="1" ht="15" customHeight="1" x14ac:dyDescent="0.2">
      <c r="A29" s="53" t="s">
        <v>128</v>
      </c>
      <c r="B29" s="54" t="s">
        <v>129</v>
      </c>
      <c r="C29" s="55">
        <v>4019</v>
      </c>
      <c r="D29" s="55">
        <v>10428</v>
      </c>
      <c r="E29" s="55">
        <v>12095</v>
      </c>
      <c r="F29" s="55">
        <v>9006</v>
      </c>
      <c r="G29" s="55">
        <v>21227</v>
      </c>
      <c r="H29" s="55">
        <v>15162</v>
      </c>
      <c r="I29" s="55">
        <v>20675</v>
      </c>
      <c r="J29" s="55">
        <v>32741</v>
      </c>
      <c r="K29" s="55">
        <v>43884</v>
      </c>
      <c r="L29" s="55">
        <v>24322</v>
      </c>
      <c r="M29" s="55">
        <v>4147</v>
      </c>
      <c r="N29" s="55">
        <v>5160</v>
      </c>
      <c r="O29" s="55">
        <v>22476</v>
      </c>
      <c r="P29" s="56">
        <f t="shared" si="0"/>
        <v>225342</v>
      </c>
    </row>
    <row r="30" spans="1:16" s="47" customFormat="1" ht="15" customHeight="1" x14ac:dyDescent="0.2">
      <c r="A30" s="58" t="s">
        <v>130</v>
      </c>
      <c r="B30" s="59" t="s">
        <v>131</v>
      </c>
      <c r="C30" s="60">
        <v>4158</v>
      </c>
      <c r="D30" s="60">
        <v>9676</v>
      </c>
      <c r="E30" s="60">
        <v>11057</v>
      </c>
      <c r="F30" s="60">
        <v>8695</v>
      </c>
      <c r="G30" s="60">
        <v>25448</v>
      </c>
      <c r="H30" s="60">
        <v>20683</v>
      </c>
      <c r="I30" s="60">
        <v>26693</v>
      </c>
      <c r="J30" s="60">
        <v>26889</v>
      </c>
      <c r="K30" s="60">
        <v>34561</v>
      </c>
      <c r="L30" s="60">
        <v>19625</v>
      </c>
      <c r="M30" s="60">
        <v>14224</v>
      </c>
      <c r="N30" s="60">
        <v>5104</v>
      </c>
      <c r="O30" s="60">
        <v>8590</v>
      </c>
      <c r="P30" s="61">
        <f t="shared" si="0"/>
        <v>215403</v>
      </c>
    </row>
    <row r="31" spans="1:16" s="47" customFormat="1" ht="15" customHeight="1" x14ac:dyDescent="0.2">
      <c r="A31" s="53" t="s">
        <v>132</v>
      </c>
      <c r="B31" s="54" t="s">
        <v>133</v>
      </c>
      <c r="C31" s="55">
        <v>1881</v>
      </c>
      <c r="D31" s="55">
        <v>4394</v>
      </c>
      <c r="E31" s="55">
        <v>5492</v>
      </c>
      <c r="F31" s="55">
        <v>4601</v>
      </c>
      <c r="G31" s="55">
        <v>10062</v>
      </c>
      <c r="H31" s="55">
        <v>6922</v>
      </c>
      <c r="I31" s="55">
        <v>11309</v>
      </c>
      <c r="J31" s="55">
        <v>17474</v>
      </c>
      <c r="K31" s="55">
        <v>29381</v>
      </c>
      <c r="L31" s="55">
        <v>19421</v>
      </c>
      <c r="M31" s="55">
        <v>14679</v>
      </c>
      <c r="N31" s="55">
        <v>6971</v>
      </c>
      <c r="O31" s="55">
        <v>44312</v>
      </c>
      <c r="P31" s="56">
        <f t="shared" si="0"/>
        <v>176899</v>
      </c>
    </row>
    <row r="32" spans="1:16" s="47" customFormat="1" ht="15" customHeight="1" x14ac:dyDescent="0.2">
      <c r="A32" s="58" t="s">
        <v>134</v>
      </c>
      <c r="B32" s="59" t="s">
        <v>135</v>
      </c>
      <c r="C32" s="60">
        <v>12720</v>
      </c>
      <c r="D32" s="60">
        <v>28587</v>
      </c>
      <c r="E32" s="60">
        <v>31536</v>
      </c>
      <c r="F32" s="60">
        <v>22528</v>
      </c>
      <c r="G32" s="60">
        <v>47727</v>
      </c>
      <c r="H32" s="60">
        <v>30704</v>
      </c>
      <c r="I32" s="60">
        <v>38123</v>
      </c>
      <c r="J32" s="60">
        <v>45422</v>
      </c>
      <c r="K32" s="60">
        <v>62188</v>
      </c>
      <c r="L32" s="60">
        <v>31331</v>
      </c>
      <c r="M32" s="60">
        <v>14262</v>
      </c>
      <c r="N32" s="60">
        <v>6666</v>
      </c>
      <c r="O32" s="60">
        <v>12976</v>
      </c>
      <c r="P32" s="61">
        <f t="shared" si="0"/>
        <v>384770</v>
      </c>
    </row>
    <row r="33" spans="1:16" s="47" customFormat="1" ht="15" customHeight="1" x14ac:dyDescent="0.2">
      <c r="A33" s="53" t="s">
        <v>136</v>
      </c>
      <c r="B33" s="54" t="s">
        <v>137</v>
      </c>
      <c r="C33" s="55">
        <v>710</v>
      </c>
      <c r="D33" s="55">
        <v>1848</v>
      </c>
      <c r="E33" s="55">
        <v>1938</v>
      </c>
      <c r="F33" s="55">
        <v>1839</v>
      </c>
      <c r="G33" s="55">
        <v>3835</v>
      </c>
      <c r="H33" s="55">
        <v>2965</v>
      </c>
      <c r="I33" s="55">
        <v>4026</v>
      </c>
      <c r="J33" s="55">
        <v>7099</v>
      </c>
      <c r="K33" s="55">
        <v>8657</v>
      </c>
      <c r="L33" s="55">
        <v>6483</v>
      </c>
      <c r="M33" s="55">
        <v>3836</v>
      </c>
      <c r="N33" s="55">
        <v>1815</v>
      </c>
      <c r="O33" s="55">
        <v>11877</v>
      </c>
      <c r="P33" s="56">
        <f t="shared" si="0"/>
        <v>56928</v>
      </c>
    </row>
    <row r="34" spans="1:16" s="47" customFormat="1" ht="15" customHeight="1" x14ac:dyDescent="0.2">
      <c r="A34" s="58" t="s">
        <v>138</v>
      </c>
      <c r="B34" s="59" t="s">
        <v>139</v>
      </c>
      <c r="C34" s="60">
        <v>2345</v>
      </c>
      <c r="D34" s="60">
        <v>5516</v>
      </c>
      <c r="E34" s="60">
        <v>6415</v>
      </c>
      <c r="F34" s="60">
        <v>5339</v>
      </c>
      <c r="G34" s="60">
        <v>11780</v>
      </c>
      <c r="H34" s="60">
        <v>8891</v>
      </c>
      <c r="I34" s="60">
        <v>11695</v>
      </c>
      <c r="J34" s="60">
        <v>17561</v>
      </c>
      <c r="K34" s="60">
        <v>32570</v>
      </c>
      <c r="L34" s="60">
        <v>20773</v>
      </c>
      <c r="M34" s="60">
        <v>18450</v>
      </c>
      <c r="N34" s="60">
        <v>4216</v>
      </c>
      <c r="O34" s="60">
        <v>43015</v>
      </c>
      <c r="P34" s="61">
        <f t="shared" si="0"/>
        <v>188566</v>
      </c>
    </row>
    <row r="35" spans="1:16" s="47" customFormat="1" ht="15" customHeight="1" x14ac:dyDescent="0.2">
      <c r="A35" s="53" t="s">
        <v>140</v>
      </c>
      <c r="B35" s="54" t="s">
        <v>141</v>
      </c>
      <c r="C35" s="55">
        <v>4242</v>
      </c>
      <c r="D35" s="55">
        <v>11106</v>
      </c>
      <c r="E35" s="55">
        <v>15118</v>
      </c>
      <c r="F35" s="55">
        <v>12575</v>
      </c>
      <c r="G35" s="55">
        <v>29049</v>
      </c>
      <c r="H35" s="55">
        <v>19771</v>
      </c>
      <c r="I35" s="55">
        <v>24718</v>
      </c>
      <c r="J35" s="55">
        <v>31372</v>
      </c>
      <c r="K35" s="55">
        <v>34869</v>
      </c>
      <c r="L35" s="55">
        <v>13614</v>
      </c>
      <c r="M35" s="55">
        <v>2962</v>
      </c>
      <c r="N35" s="55">
        <v>1850</v>
      </c>
      <c r="O35" s="55">
        <v>10575</v>
      </c>
      <c r="P35" s="56">
        <f t="shared" si="0"/>
        <v>211821</v>
      </c>
    </row>
    <row r="36" spans="1:16" s="47" customFormat="1" ht="15" customHeight="1" x14ac:dyDescent="0.2">
      <c r="A36" s="58" t="s">
        <v>142</v>
      </c>
      <c r="B36" s="59" t="s">
        <v>143</v>
      </c>
      <c r="C36" s="60">
        <v>1277</v>
      </c>
      <c r="D36" s="60">
        <v>3270</v>
      </c>
      <c r="E36" s="60">
        <v>4004</v>
      </c>
      <c r="F36" s="60">
        <v>2967</v>
      </c>
      <c r="G36" s="60">
        <v>8679</v>
      </c>
      <c r="H36" s="60">
        <v>6000</v>
      </c>
      <c r="I36" s="60">
        <v>10877</v>
      </c>
      <c r="J36" s="60">
        <v>21103</v>
      </c>
      <c r="K36" s="60">
        <v>38976</v>
      </c>
      <c r="L36" s="60">
        <v>32736</v>
      </c>
      <c r="M36" s="60">
        <v>27423</v>
      </c>
      <c r="N36" s="60">
        <v>12132</v>
      </c>
      <c r="O36" s="60">
        <v>83825</v>
      </c>
      <c r="P36" s="61">
        <f t="shared" si="0"/>
        <v>253269</v>
      </c>
    </row>
    <row r="37" spans="1:16" s="47" customFormat="1" ht="15" customHeight="1" x14ac:dyDescent="0.2">
      <c r="A37" s="53" t="s">
        <v>144</v>
      </c>
      <c r="B37" s="54" t="s">
        <v>145</v>
      </c>
      <c r="C37" s="55">
        <v>477</v>
      </c>
      <c r="D37" s="55">
        <v>1262</v>
      </c>
      <c r="E37" s="55">
        <v>1552</v>
      </c>
      <c r="F37" s="55">
        <v>1179</v>
      </c>
      <c r="G37" s="55">
        <v>3707</v>
      </c>
      <c r="H37" s="55">
        <v>2547</v>
      </c>
      <c r="I37" s="55">
        <v>4221</v>
      </c>
      <c r="J37" s="55">
        <v>6118</v>
      </c>
      <c r="K37" s="55">
        <v>10514</v>
      </c>
      <c r="L37" s="55">
        <v>8381</v>
      </c>
      <c r="M37" s="55">
        <v>8931</v>
      </c>
      <c r="N37" s="55">
        <v>5144</v>
      </c>
      <c r="O37" s="55">
        <v>47107</v>
      </c>
      <c r="P37" s="56">
        <f t="shared" si="0"/>
        <v>101140</v>
      </c>
    </row>
    <row r="38" spans="1:16" s="47" customFormat="1" ht="15" customHeight="1" x14ac:dyDescent="0.2">
      <c r="A38" s="58" t="s">
        <v>146</v>
      </c>
      <c r="B38" s="59" t="s">
        <v>147</v>
      </c>
      <c r="C38" s="60">
        <v>10318</v>
      </c>
      <c r="D38" s="60">
        <v>20303</v>
      </c>
      <c r="E38" s="60">
        <v>18309</v>
      </c>
      <c r="F38" s="60">
        <v>11807</v>
      </c>
      <c r="G38" s="60">
        <v>25260</v>
      </c>
      <c r="H38" s="60">
        <v>15662</v>
      </c>
      <c r="I38" s="60">
        <v>20560</v>
      </c>
      <c r="J38" s="60">
        <v>19046</v>
      </c>
      <c r="K38" s="60">
        <v>16347</v>
      </c>
      <c r="L38" s="60">
        <v>5823</v>
      </c>
      <c r="M38" s="60">
        <v>4957</v>
      </c>
      <c r="N38" s="60">
        <v>1759</v>
      </c>
      <c r="O38" s="60">
        <v>4568</v>
      </c>
      <c r="P38" s="61">
        <f t="shared" si="0"/>
        <v>174719</v>
      </c>
    </row>
    <row r="39" spans="1:16" s="47" customFormat="1" ht="15" customHeight="1" x14ac:dyDescent="0.2">
      <c r="A39" s="53" t="s">
        <v>148</v>
      </c>
      <c r="B39" s="54" t="s">
        <v>149</v>
      </c>
      <c r="C39" s="55">
        <v>2699</v>
      </c>
      <c r="D39" s="55">
        <v>7193</v>
      </c>
      <c r="E39" s="55">
        <v>9155</v>
      </c>
      <c r="F39" s="55">
        <v>6634</v>
      </c>
      <c r="G39" s="55">
        <v>13496</v>
      </c>
      <c r="H39" s="55">
        <v>8043</v>
      </c>
      <c r="I39" s="55">
        <v>9513</v>
      </c>
      <c r="J39" s="55">
        <v>8556</v>
      </c>
      <c r="K39" s="55">
        <v>10913</v>
      </c>
      <c r="L39" s="55">
        <v>3335</v>
      </c>
      <c r="M39" s="55">
        <v>1363</v>
      </c>
      <c r="N39" s="55">
        <v>1687</v>
      </c>
      <c r="O39" s="55">
        <v>1385</v>
      </c>
      <c r="P39" s="56">
        <f t="shared" si="0"/>
        <v>83972</v>
      </c>
    </row>
    <row r="40" spans="1:16" s="47" customFormat="1" ht="15" customHeight="1" x14ac:dyDescent="0.2">
      <c r="A40" s="58" t="s">
        <v>150</v>
      </c>
      <c r="B40" s="59" t="s">
        <v>151</v>
      </c>
      <c r="C40" s="60">
        <v>7732</v>
      </c>
      <c r="D40" s="60">
        <v>17268</v>
      </c>
      <c r="E40" s="60">
        <v>17889</v>
      </c>
      <c r="F40" s="60">
        <v>11587</v>
      </c>
      <c r="G40" s="60">
        <v>21182</v>
      </c>
      <c r="H40" s="60">
        <v>12231</v>
      </c>
      <c r="I40" s="60">
        <v>13096</v>
      </c>
      <c r="J40" s="60">
        <v>14554</v>
      </c>
      <c r="K40" s="60">
        <v>11510</v>
      </c>
      <c r="L40" s="60">
        <v>3976</v>
      </c>
      <c r="M40" s="60">
        <v>3650</v>
      </c>
      <c r="N40" s="60">
        <v>2439</v>
      </c>
      <c r="O40" s="60">
        <v>27593</v>
      </c>
      <c r="P40" s="61">
        <f t="shared" si="0"/>
        <v>164707</v>
      </c>
    </row>
    <row r="41" spans="1:16" s="62" customFormat="1" ht="15" customHeight="1" x14ac:dyDescent="0.25">
      <c r="A41" s="53" t="s">
        <v>152</v>
      </c>
      <c r="B41" s="54" t="s">
        <v>153</v>
      </c>
      <c r="C41" s="55">
        <v>3873</v>
      </c>
      <c r="D41" s="55">
        <v>4869</v>
      </c>
      <c r="E41" s="55">
        <v>5771</v>
      </c>
      <c r="F41" s="55">
        <v>5034</v>
      </c>
      <c r="G41" s="55">
        <v>11426</v>
      </c>
      <c r="H41" s="55">
        <v>7235</v>
      </c>
      <c r="I41" s="55">
        <v>9277</v>
      </c>
      <c r="J41" s="55">
        <v>16348</v>
      </c>
      <c r="K41" s="55">
        <v>16597</v>
      </c>
      <c r="L41" s="55">
        <v>13709</v>
      </c>
      <c r="M41" s="55">
        <v>13067</v>
      </c>
      <c r="N41" s="55">
        <v>5681</v>
      </c>
      <c r="O41" s="55">
        <v>9010</v>
      </c>
      <c r="P41" s="56">
        <f t="shared" si="0"/>
        <v>121897</v>
      </c>
    </row>
    <row r="42" spans="1:16" s="47" customFormat="1" ht="15" customHeight="1" x14ac:dyDescent="0.2">
      <c r="A42" s="58" t="s">
        <v>154</v>
      </c>
      <c r="B42" s="59" t="s">
        <v>155</v>
      </c>
      <c r="C42" s="60">
        <v>164</v>
      </c>
      <c r="D42" s="60">
        <v>308</v>
      </c>
      <c r="E42" s="60">
        <v>409</v>
      </c>
      <c r="F42" s="60">
        <v>337</v>
      </c>
      <c r="G42" s="60">
        <v>1001</v>
      </c>
      <c r="H42" s="60">
        <v>399</v>
      </c>
      <c r="I42" s="60">
        <v>755</v>
      </c>
      <c r="J42" s="60">
        <v>1199</v>
      </c>
      <c r="K42" s="60">
        <v>1097</v>
      </c>
      <c r="L42" s="60">
        <v>1176</v>
      </c>
      <c r="M42" s="60">
        <v>1117</v>
      </c>
      <c r="N42" s="60">
        <v>1928</v>
      </c>
      <c r="O42" s="60">
        <v>0</v>
      </c>
      <c r="P42" s="61">
        <f t="shared" si="0"/>
        <v>9890</v>
      </c>
    </row>
    <row r="43" spans="1:16" s="62" customFormat="1" ht="15" customHeight="1" x14ac:dyDescent="0.25">
      <c r="A43" s="53" t="s">
        <v>156</v>
      </c>
      <c r="B43" s="54" t="s">
        <v>157</v>
      </c>
      <c r="C43" s="55">
        <v>148</v>
      </c>
      <c r="D43" s="55">
        <v>284</v>
      </c>
      <c r="E43" s="55">
        <v>502</v>
      </c>
      <c r="F43" s="55">
        <v>421</v>
      </c>
      <c r="G43" s="55">
        <v>821</v>
      </c>
      <c r="H43" s="55">
        <v>461</v>
      </c>
      <c r="I43" s="55">
        <v>946</v>
      </c>
      <c r="J43" s="55">
        <v>2201</v>
      </c>
      <c r="K43" s="55">
        <v>3864</v>
      </c>
      <c r="L43" s="55">
        <v>4896</v>
      </c>
      <c r="M43" s="55">
        <v>2029</v>
      </c>
      <c r="N43" s="55">
        <v>2701</v>
      </c>
      <c r="O43" s="55">
        <v>5187</v>
      </c>
      <c r="P43" s="56">
        <f t="shared" si="0"/>
        <v>24461</v>
      </c>
    </row>
    <row r="44" spans="1:16" s="47" customFormat="1" ht="15" customHeight="1" x14ac:dyDescent="0.2">
      <c r="A44" s="58" t="s">
        <v>158</v>
      </c>
      <c r="B44" s="59" t="s">
        <v>159</v>
      </c>
      <c r="C44" s="60">
        <v>1221</v>
      </c>
      <c r="D44" s="60">
        <v>3090</v>
      </c>
      <c r="E44" s="60">
        <v>4037</v>
      </c>
      <c r="F44" s="60">
        <v>3373</v>
      </c>
      <c r="G44" s="60">
        <v>7424</v>
      </c>
      <c r="H44" s="60">
        <v>4208</v>
      </c>
      <c r="I44" s="60">
        <v>5920</v>
      </c>
      <c r="J44" s="60">
        <v>7860</v>
      </c>
      <c r="K44" s="60">
        <v>13371</v>
      </c>
      <c r="L44" s="60">
        <v>15685</v>
      </c>
      <c r="M44" s="60">
        <v>12578</v>
      </c>
      <c r="N44" s="60">
        <v>4036</v>
      </c>
      <c r="O44" s="60">
        <v>3813</v>
      </c>
      <c r="P44" s="61">
        <f t="shared" si="0"/>
        <v>86616</v>
      </c>
    </row>
    <row r="45" spans="1:16" s="47" customFormat="1" ht="15" customHeight="1" x14ac:dyDescent="0.2">
      <c r="A45" s="53" t="s">
        <v>160</v>
      </c>
      <c r="B45" s="54" t="s">
        <v>161</v>
      </c>
      <c r="C45" s="55">
        <v>26</v>
      </c>
      <c r="D45" s="55">
        <v>52</v>
      </c>
      <c r="E45" s="55">
        <v>144</v>
      </c>
      <c r="F45" s="55">
        <v>71</v>
      </c>
      <c r="G45" s="55">
        <v>87</v>
      </c>
      <c r="H45" s="55">
        <v>136</v>
      </c>
      <c r="I45" s="55">
        <v>114</v>
      </c>
      <c r="J45" s="55">
        <v>721</v>
      </c>
      <c r="K45" s="55">
        <v>1991</v>
      </c>
      <c r="L45" s="55">
        <v>645</v>
      </c>
      <c r="M45" s="55">
        <v>650</v>
      </c>
      <c r="N45" s="55">
        <v>836</v>
      </c>
      <c r="O45" s="55">
        <v>3168</v>
      </c>
      <c r="P45" s="56">
        <f t="shared" si="0"/>
        <v>8641</v>
      </c>
    </row>
    <row r="46" spans="1:16" s="62" customFormat="1" ht="15" customHeight="1" x14ac:dyDescent="0.25">
      <c r="A46" s="58" t="s">
        <v>162</v>
      </c>
      <c r="B46" s="59" t="s">
        <v>163</v>
      </c>
      <c r="C46" s="60">
        <v>45107</v>
      </c>
      <c r="D46" s="60">
        <v>90886</v>
      </c>
      <c r="E46" s="60">
        <v>123615</v>
      </c>
      <c r="F46" s="60">
        <v>103217</v>
      </c>
      <c r="G46" s="60">
        <v>221361</v>
      </c>
      <c r="H46" s="60">
        <v>120058</v>
      </c>
      <c r="I46" s="60">
        <v>128023</v>
      </c>
      <c r="J46" s="60">
        <v>130730</v>
      </c>
      <c r="K46" s="60">
        <v>138145</v>
      </c>
      <c r="L46" s="60">
        <v>101477</v>
      </c>
      <c r="M46" s="60">
        <v>67968</v>
      </c>
      <c r="N46" s="60">
        <v>29344</v>
      </c>
      <c r="O46" s="60">
        <v>73014</v>
      </c>
      <c r="P46" s="61">
        <f t="shared" si="0"/>
        <v>1372945</v>
      </c>
    </row>
    <row r="47" spans="1:16" s="47" customFormat="1" ht="15" customHeight="1" x14ac:dyDescent="0.2">
      <c r="A47" s="53" t="s">
        <v>164</v>
      </c>
      <c r="B47" s="54" t="s">
        <v>165</v>
      </c>
      <c r="C47" s="55">
        <v>2450</v>
      </c>
      <c r="D47" s="55">
        <v>6185</v>
      </c>
      <c r="E47" s="55">
        <v>9142</v>
      </c>
      <c r="F47" s="55">
        <v>8208</v>
      </c>
      <c r="G47" s="55">
        <v>23461</v>
      </c>
      <c r="H47" s="55">
        <v>17965</v>
      </c>
      <c r="I47" s="55">
        <v>30829</v>
      </c>
      <c r="J47" s="55">
        <v>49759</v>
      </c>
      <c r="K47" s="55">
        <v>52464</v>
      </c>
      <c r="L47" s="55">
        <v>22985</v>
      </c>
      <c r="M47" s="55">
        <v>12629</v>
      </c>
      <c r="N47" s="55">
        <v>11214</v>
      </c>
      <c r="O47" s="55">
        <v>64551</v>
      </c>
      <c r="P47" s="56">
        <f t="shared" si="0"/>
        <v>311842</v>
      </c>
    </row>
    <row r="48" spans="1:16" s="62" customFormat="1" ht="15" customHeight="1" x14ac:dyDescent="0.25">
      <c r="A48" s="58" t="s">
        <v>166</v>
      </c>
      <c r="B48" s="59" t="s">
        <v>167</v>
      </c>
      <c r="C48" s="60">
        <v>24552</v>
      </c>
      <c r="D48" s="60">
        <v>50519</v>
      </c>
      <c r="E48" s="60">
        <v>52564</v>
      </c>
      <c r="F48" s="60">
        <v>32253</v>
      </c>
      <c r="G48" s="60">
        <v>52317</v>
      </c>
      <c r="H48" s="60">
        <v>23575</v>
      </c>
      <c r="I48" s="60">
        <v>23052</v>
      </c>
      <c r="J48" s="60">
        <v>21769</v>
      </c>
      <c r="K48" s="60">
        <v>16170</v>
      </c>
      <c r="L48" s="60">
        <v>7848</v>
      </c>
      <c r="M48" s="60">
        <v>618</v>
      </c>
      <c r="N48" s="60">
        <v>1704</v>
      </c>
      <c r="O48" s="60">
        <v>0</v>
      </c>
      <c r="P48" s="61">
        <f t="shared" si="0"/>
        <v>306941</v>
      </c>
    </row>
    <row r="49" spans="1:16" s="47" customFormat="1" ht="15" customHeight="1" x14ac:dyDescent="0.2">
      <c r="A49" s="53" t="s">
        <v>168</v>
      </c>
      <c r="B49" s="54" t="s">
        <v>169</v>
      </c>
      <c r="C49" s="55">
        <v>41603</v>
      </c>
      <c r="D49" s="55">
        <v>64882</v>
      </c>
      <c r="E49" s="55">
        <v>44900</v>
      </c>
      <c r="F49" s="55">
        <v>21491</v>
      </c>
      <c r="G49" s="55">
        <v>33392</v>
      </c>
      <c r="H49" s="55">
        <v>16369</v>
      </c>
      <c r="I49" s="55">
        <v>22212</v>
      </c>
      <c r="J49" s="55">
        <v>16508</v>
      </c>
      <c r="K49" s="55">
        <v>13802</v>
      </c>
      <c r="L49" s="55">
        <v>5936</v>
      </c>
      <c r="M49" s="55">
        <v>578</v>
      </c>
      <c r="N49" s="55">
        <v>787</v>
      </c>
      <c r="O49" s="55">
        <v>0</v>
      </c>
      <c r="P49" s="56">
        <f t="shared" si="0"/>
        <v>282460</v>
      </c>
    </row>
    <row r="50" spans="1:16" s="47" customFormat="1" ht="15" customHeight="1" x14ac:dyDescent="0.2">
      <c r="A50" s="58" t="s">
        <v>170</v>
      </c>
      <c r="B50" s="59" t="s">
        <v>171</v>
      </c>
      <c r="C50" s="60">
        <v>59575</v>
      </c>
      <c r="D50" s="60">
        <v>129493</v>
      </c>
      <c r="E50" s="60">
        <v>134180</v>
      </c>
      <c r="F50" s="60">
        <v>81116</v>
      </c>
      <c r="G50" s="60">
        <v>131293</v>
      </c>
      <c r="H50" s="60">
        <v>60815</v>
      </c>
      <c r="I50" s="60">
        <v>60204</v>
      </c>
      <c r="J50" s="60">
        <v>53013</v>
      </c>
      <c r="K50" s="60">
        <v>35645</v>
      </c>
      <c r="L50" s="60">
        <v>13390</v>
      </c>
      <c r="M50" s="60">
        <v>6204</v>
      </c>
      <c r="N50" s="60">
        <v>804</v>
      </c>
      <c r="O50" s="60">
        <v>2983</v>
      </c>
      <c r="P50" s="61">
        <f t="shared" si="0"/>
        <v>768715</v>
      </c>
    </row>
    <row r="51" spans="1:16" s="47" customFormat="1" ht="15" customHeight="1" x14ac:dyDescent="0.2">
      <c r="A51" s="53" t="s">
        <v>172</v>
      </c>
      <c r="B51" s="54" t="s">
        <v>173</v>
      </c>
      <c r="C51" s="55">
        <v>142383</v>
      </c>
      <c r="D51" s="55">
        <v>277109</v>
      </c>
      <c r="E51" s="55">
        <v>389401</v>
      </c>
      <c r="F51" s="55">
        <v>170659</v>
      </c>
      <c r="G51" s="55">
        <v>224897</v>
      </c>
      <c r="H51" s="55">
        <v>101865</v>
      </c>
      <c r="I51" s="55">
        <v>84702</v>
      </c>
      <c r="J51" s="55">
        <v>56409</v>
      </c>
      <c r="K51" s="55">
        <v>35090</v>
      </c>
      <c r="L51" s="55">
        <v>16655</v>
      </c>
      <c r="M51" s="55">
        <v>9282</v>
      </c>
      <c r="N51" s="55">
        <v>5235</v>
      </c>
      <c r="O51" s="55">
        <v>17459</v>
      </c>
      <c r="P51" s="56">
        <f t="shared" si="0"/>
        <v>1531146</v>
      </c>
    </row>
    <row r="52" spans="1:16" s="62" customFormat="1" ht="15" customHeight="1" x14ac:dyDescent="0.25">
      <c r="A52" s="58" t="s">
        <v>174</v>
      </c>
      <c r="B52" s="59" t="s">
        <v>175</v>
      </c>
      <c r="C52" s="60">
        <v>99456</v>
      </c>
      <c r="D52" s="60">
        <v>120053</v>
      </c>
      <c r="E52" s="60">
        <v>71735</v>
      </c>
      <c r="F52" s="60">
        <v>41681</v>
      </c>
      <c r="G52" s="60">
        <v>83942</v>
      </c>
      <c r="H52" s="60">
        <v>46062</v>
      </c>
      <c r="I52" s="60">
        <v>48044</v>
      </c>
      <c r="J52" s="60">
        <v>43661</v>
      </c>
      <c r="K52" s="60">
        <v>40294</v>
      </c>
      <c r="L52" s="60">
        <v>11973</v>
      </c>
      <c r="M52" s="60">
        <v>8974</v>
      </c>
      <c r="N52" s="60">
        <v>5956</v>
      </c>
      <c r="O52" s="60">
        <v>18287</v>
      </c>
      <c r="P52" s="61">
        <f t="shared" si="0"/>
        <v>640118</v>
      </c>
    </row>
    <row r="53" spans="1:16" s="47" customFormat="1" ht="15" customHeight="1" x14ac:dyDescent="0.2">
      <c r="A53" s="53" t="s">
        <v>176</v>
      </c>
      <c r="B53" s="54" t="s">
        <v>177</v>
      </c>
      <c r="C53" s="55">
        <v>1546</v>
      </c>
      <c r="D53" s="55">
        <v>2656</v>
      </c>
      <c r="E53" s="55">
        <v>2062</v>
      </c>
      <c r="F53" s="55">
        <v>1358</v>
      </c>
      <c r="G53" s="55">
        <v>2840</v>
      </c>
      <c r="H53" s="55">
        <v>2960</v>
      </c>
      <c r="I53" s="55">
        <v>1498</v>
      </c>
      <c r="J53" s="55">
        <v>1606</v>
      </c>
      <c r="K53" s="55">
        <v>977</v>
      </c>
      <c r="L53" s="55">
        <v>730</v>
      </c>
      <c r="M53" s="55">
        <v>597</v>
      </c>
      <c r="N53" s="55">
        <v>0</v>
      </c>
      <c r="O53" s="55">
        <v>0</v>
      </c>
      <c r="P53" s="56">
        <f t="shared" si="0"/>
        <v>18830</v>
      </c>
    </row>
    <row r="54" spans="1:16" s="47" customFormat="1" ht="15" customHeight="1" x14ac:dyDescent="0.2">
      <c r="A54" s="58" t="s">
        <v>178</v>
      </c>
      <c r="B54" s="59" t="s">
        <v>179</v>
      </c>
      <c r="C54" s="60">
        <v>86</v>
      </c>
      <c r="D54" s="60">
        <v>240</v>
      </c>
      <c r="E54" s="60">
        <v>361</v>
      </c>
      <c r="F54" s="60">
        <v>338</v>
      </c>
      <c r="G54" s="60">
        <v>717</v>
      </c>
      <c r="H54" s="60">
        <v>426</v>
      </c>
      <c r="I54" s="60">
        <v>801</v>
      </c>
      <c r="J54" s="60">
        <v>1618</v>
      </c>
      <c r="K54" s="60">
        <v>2309</v>
      </c>
      <c r="L54" s="60">
        <v>2755</v>
      </c>
      <c r="M54" s="60">
        <v>1333</v>
      </c>
      <c r="N54" s="60">
        <v>1612</v>
      </c>
      <c r="O54" s="60">
        <v>29221</v>
      </c>
      <c r="P54" s="61">
        <f t="shared" si="0"/>
        <v>41817</v>
      </c>
    </row>
    <row r="55" spans="1:16" s="47" customFormat="1" ht="15" customHeight="1" x14ac:dyDescent="0.2">
      <c r="A55" s="53" t="s">
        <v>180</v>
      </c>
      <c r="B55" s="54" t="s">
        <v>181</v>
      </c>
      <c r="C55" s="55">
        <v>6482</v>
      </c>
      <c r="D55" s="55">
        <v>12917</v>
      </c>
      <c r="E55" s="55">
        <v>17068</v>
      </c>
      <c r="F55" s="55">
        <v>14286</v>
      </c>
      <c r="G55" s="55">
        <v>31359</v>
      </c>
      <c r="H55" s="55">
        <v>17064</v>
      </c>
      <c r="I55" s="55">
        <v>22457</v>
      </c>
      <c r="J55" s="55">
        <v>34173</v>
      </c>
      <c r="K55" s="55">
        <v>50866</v>
      </c>
      <c r="L55" s="55">
        <v>28538</v>
      </c>
      <c r="M55" s="55">
        <v>12491</v>
      </c>
      <c r="N55" s="55">
        <v>6388</v>
      </c>
      <c r="O55" s="55">
        <v>58685</v>
      </c>
      <c r="P55" s="56">
        <f t="shared" si="0"/>
        <v>312774</v>
      </c>
    </row>
    <row r="56" spans="1:16" s="62" customFormat="1" ht="15" customHeight="1" x14ac:dyDescent="0.25">
      <c r="A56" s="58" t="s">
        <v>182</v>
      </c>
      <c r="B56" s="59" t="s">
        <v>183</v>
      </c>
      <c r="C56" s="60">
        <v>3884</v>
      </c>
      <c r="D56" s="60">
        <v>4075</v>
      </c>
      <c r="E56" s="60">
        <v>6067</v>
      </c>
      <c r="F56" s="60">
        <v>7268</v>
      </c>
      <c r="G56" s="60">
        <v>13003</v>
      </c>
      <c r="H56" s="60">
        <v>4603</v>
      </c>
      <c r="I56" s="60">
        <v>4060</v>
      </c>
      <c r="J56" s="60">
        <v>7627</v>
      </c>
      <c r="K56" s="60">
        <v>11732</v>
      </c>
      <c r="L56" s="60">
        <v>4390</v>
      </c>
      <c r="M56" s="60">
        <v>5612</v>
      </c>
      <c r="N56" s="60">
        <v>873</v>
      </c>
      <c r="O56" s="60">
        <v>8077</v>
      </c>
      <c r="P56" s="61">
        <f t="shared" si="0"/>
        <v>81271</v>
      </c>
    </row>
    <row r="57" spans="1:16" s="47" customFormat="1" ht="15" customHeight="1" x14ac:dyDescent="0.2">
      <c r="A57" s="53" t="s">
        <v>184</v>
      </c>
      <c r="B57" s="54" t="s">
        <v>185</v>
      </c>
      <c r="C57" s="55">
        <v>6898</v>
      </c>
      <c r="D57" s="55">
        <v>15227</v>
      </c>
      <c r="E57" s="55">
        <v>23422</v>
      </c>
      <c r="F57" s="55">
        <v>16074</v>
      </c>
      <c r="G57" s="55">
        <v>29579</v>
      </c>
      <c r="H57" s="55">
        <v>17857</v>
      </c>
      <c r="I57" s="55">
        <v>27306</v>
      </c>
      <c r="J57" s="55">
        <v>41359</v>
      </c>
      <c r="K57" s="55">
        <v>60231</v>
      </c>
      <c r="L57" s="55">
        <v>44898</v>
      </c>
      <c r="M57" s="55">
        <v>18216</v>
      </c>
      <c r="N57" s="55">
        <v>8141</v>
      </c>
      <c r="O57" s="55">
        <v>3301</v>
      </c>
      <c r="P57" s="56">
        <f t="shared" si="0"/>
        <v>312509</v>
      </c>
    </row>
    <row r="58" spans="1:16" s="47" customFormat="1" ht="15" customHeight="1" x14ac:dyDescent="0.2">
      <c r="A58" s="58" t="s">
        <v>186</v>
      </c>
      <c r="B58" s="59" t="s">
        <v>187</v>
      </c>
      <c r="C58" s="60">
        <v>48369</v>
      </c>
      <c r="D58" s="60">
        <v>99703</v>
      </c>
      <c r="E58" s="60">
        <v>116604</v>
      </c>
      <c r="F58" s="60">
        <v>90869</v>
      </c>
      <c r="G58" s="60">
        <v>196184</v>
      </c>
      <c r="H58" s="60">
        <v>93791</v>
      </c>
      <c r="I58" s="60">
        <v>88316</v>
      </c>
      <c r="J58" s="60">
        <v>64006</v>
      </c>
      <c r="K58" s="60">
        <v>32761</v>
      </c>
      <c r="L58" s="60">
        <v>14038</v>
      </c>
      <c r="M58" s="60">
        <v>6546</v>
      </c>
      <c r="N58" s="60">
        <v>910</v>
      </c>
      <c r="O58" s="60">
        <v>6440</v>
      </c>
      <c r="P58" s="61">
        <f t="shared" si="0"/>
        <v>858537</v>
      </c>
    </row>
    <row r="59" spans="1:16" s="47" customFormat="1" ht="15" customHeight="1" x14ac:dyDescent="0.2">
      <c r="A59" s="53" t="s">
        <v>188</v>
      </c>
      <c r="B59" s="54" t="s">
        <v>189</v>
      </c>
      <c r="C59" s="55">
        <v>825</v>
      </c>
      <c r="D59" s="55">
        <v>1927</v>
      </c>
      <c r="E59" s="55">
        <v>2717</v>
      </c>
      <c r="F59" s="55">
        <v>1953</v>
      </c>
      <c r="G59" s="55">
        <v>4759</v>
      </c>
      <c r="H59" s="55">
        <v>3054</v>
      </c>
      <c r="I59" s="55">
        <v>3060</v>
      </c>
      <c r="J59" s="55">
        <v>3329</v>
      </c>
      <c r="K59" s="55">
        <v>2241</v>
      </c>
      <c r="L59" s="55">
        <v>0</v>
      </c>
      <c r="M59" s="55">
        <v>1257</v>
      </c>
      <c r="N59" s="55">
        <v>989</v>
      </c>
      <c r="O59" s="55">
        <v>0</v>
      </c>
      <c r="P59" s="56">
        <f t="shared" si="0"/>
        <v>26111</v>
      </c>
    </row>
    <row r="60" spans="1:16" s="47" customFormat="1" ht="15" customHeight="1" x14ac:dyDescent="0.2">
      <c r="A60" s="58" t="s">
        <v>190</v>
      </c>
      <c r="B60" s="59" t="s">
        <v>191</v>
      </c>
      <c r="C60" s="60">
        <v>1043</v>
      </c>
      <c r="D60" s="60">
        <v>1864</v>
      </c>
      <c r="E60" s="60">
        <v>2115</v>
      </c>
      <c r="F60" s="60">
        <v>1468</v>
      </c>
      <c r="G60" s="60">
        <v>3407</v>
      </c>
      <c r="H60" s="60">
        <v>1831</v>
      </c>
      <c r="I60" s="60">
        <v>1245</v>
      </c>
      <c r="J60" s="60">
        <v>1880</v>
      </c>
      <c r="K60" s="60">
        <v>3407</v>
      </c>
      <c r="L60" s="60">
        <v>1002</v>
      </c>
      <c r="M60" s="60">
        <v>554</v>
      </c>
      <c r="N60" s="60">
        <v>0</v>
      </c>
      <c r="O60" s="60">
        <v>2568</v>
      </c>
      <c r="P60" s="61">
        <f t="shared" si="0"/>
        <v>22384</v>
      </c>
    </row>
    <row r="61" spans="1:16" s="47" customFormat="1" ht="15" customHeight="1" x14ac:dyDescent="0.2">
      <c r="A61" s="53" t="s">
        <v>192</v>
      </c>
      <c r="B61" s="54" t="s">
        <v>193</v>
      </c>
      <c r="C61" s="55">
        <v>218</v>
      </c>
      <c r="D61" s="55">
        <v>440</v>
      </c>
      <c r="E61" s="55">
        <v>368</v>
      </c>
      <c r="F61" s="55">
        <v>307</v>
      </c>
      <c r="G61" s="55">
        <v>1043</v>
      </c>
      <c r="H61" s="55">
        <v>783</v>
      </c>
      <c r="I61" s="55">
        <v>864</v>
      </c>
      <c r="J61" s="55">
        <v>1566</v>
      </c>
      <c r="K61" s="55">
        <v>2784</v>
      </c>
      <c r="L61" s="55">
        <v>1513</v>
      </c>
      <c r="M61" s="55">
        <v>0</v>
      </c>
      <c r="N61" s="55">
        <v>871</v>
      </c>
      <c r="O61" s="55">
        <v>0</v>
      </c>
      <c r="P61" s="56">
        <f t="shared" si="0"/>
        <v>10757</v>
      </c>
    </row>
    <row r="62" spans="1:16" s="47" customFormat="1" ht="15" customHeight="1" x14ac:dyDescent="0.2">
      <c r="A62" s="58" t="s">
        <v>194</v>
      </c>
      <c r="B62" s="59" t="s">
        <v>195</v>
      </c>
      <c r="C62" s="60">
        <v>896</v>
      </c>
      <c r="D62" s="60">
        <v>1869</v>
      </c>
      <c r="E62" s="60">
        <v>2010</v>
      </c>
      <c r="F62" s="60">
        <v>1393</v>
      </c>
      <c r="G62" s="60">
        <v>2484</v>
      </c>
      <c r="H62" s="60">
        <v>1417</v>
      </c>
      <c r="I62" s="60">
        <v>1710</v>
      </c>
      <c r="J62" s="60">
        <v>3012</v>
      </c>
      <c r="K62" s="60">
        <v>3983</v>
      </c>
      <c r="L62" s="60">
        <v>2392</v>
      </c>
      <c r="M62" s="60">
        <v>1207</v>
      </c>
      <c r="N62" s="60">
        <v>945</v>
      </c>
      <c r="O62" s="60">
        <v>3288</v>
      </c>
      <c r="P62" s="61">
        <f t="shared" si="0"/>
        <v>26606</v>
      </c>
    </row>
    <row r="63" spans="1:16" s="47" customFormat="1" ht="15" customHeight="1" x14ac:dyDescent="0.2">
      <c r="A63" s="53" t="s">
        <v>196</v>
      </c>
      <c r="B63" s="54" t="s">
        <v>197</v>
      </c>
      <c r="C63" s="55">
        <v>6080</v>
      </c>
      <c r="D63" s="55">
        <v>11745</v>
      </c>
      <c r="E63" s="55">
        <v>14341</v>
      </c>
      <c r="F63" s="55">
        <v>10648</v>
      </c>
      <c r="G63" s="55">
        <v>23622</v>
      </c>
      <c r="H63" s="55">
        <v>14092</v>
      </c>
      <c r="I63" s="55">
        <v>17860</v>
      </c>
      <c r="J63" s="55">
        <v>19659</v>
      </c>
      <c r="K63" s="55">
        <v>25573</v>
      </c>
      <c r="L63" s="55">
        <v>13178</v>
      </c>
      <c r="M63" s="55">
        <v>8265</v>
      </c>
      <c r="N63" s="55">
        <v>4575</v>
      </c>
      <c r="O63" s="55">
        <v>7928</v>
      </c>
      <c r="P63" s="56">
        <f t="shared" si="0"/>
        <v>177566</v>
      </c>
    </row>
    <row r="64" spans="1:16" s="47" customFormat="1" ht="15" customHeight="1" x14ac:dyDescent="0.2">
      <c r="A64" s="58" t="s">
        <v>198</v>
      </c>
      <c r="B64" s="59" t="s">
        <v>199</v>
      </c>
      <c r="C64" s="60">
        <v>583</v>
      </c>
      <c r="D64" s="60">
        <v>1113</v>
      </c>
      <c r="E64" s="60">
        <v>1296</v>
      </c>
      <c r="F64" s="60">
        <v>877</v>
      </c>
      <c r="G64" s="60">
        <v>2243</v>
      </c>
      <c r="H64" s="60">
        <v>1326</v>
      </c>
      <c r="I64" s="60">
        <v>1626</v>
      </c>
      <c r="J64" s="60">
        <v>1532</v>
      </c>
      <c r="K64" s="60">
        <v>4796</v>
      </c>
      <c r="L64" s="60">
        <v>2470</v>
      </c>
      <c r="M64" s="60">
        <v>1206</v>
      </c>
      <c r="N64" s="60">
        <v>1843</v>
      </c>
      <c r="O64" s="60">
        <v>1165</v>
      </c>
      <c r="P64" s="61">
        <f t="shared" si="0"/>
        <v>22076</v>
      </c>
    </row>
    <row r="65" spans="1:16" s="47" customFormat="1" ht="15" customHeight="1" x14ac:dyDescent="0.2">
      <c r="A65" s="53" t="s">
        <v>200</v>
      </c>
      <c r="B65" s="54" t="s">
        <v>201</v>
      </c>
      <c r="C65" s="55">
        <v>666</v>
      </c>
      <c r="D65" s="55">
        <v>4002</v>
      </c>
      <c r="E65" s="55">
        <v>8036</v>
      </c>
      <c r="F65" s="55">
        <v>10834</v>
      </c>
      <c r="G65" s="55">
        <v>13190</v>
      </c>
      <c r="H65" s="55">
        <v>3089</v>
      </c>
      <c r="I65" s="55">
        <v>3749</v>
      </c>
      <c r="J65" s="55">
        <v>5683</v>
      </c>
      <c r="K65" s="55">
        <v>6208</v>
      </c>
      <c r="L65" s="55">
        <v>6076</v>
      </c>
      <c r="M65" s="55">
        <v>4487</v>
      </c>
      <c r="N65" s="55">
        <v>3475</v>
      </c>
      <c r="O65" s="55">
        <v>17521</v>
      </c>
      <c r="P65" s="56">
        <f t="shared" si="0"/>
        <v>87016</v>
      </c>
    </row>
    <row r="66" spans="1:16" s="47" customFormat="1" ht="15" customHeight="1" x14ac:dyDescent="0.2">
      <c r="A66" s="58" t="s">
        <v>202</v>
      </c>
      <c r="B66" s="59" t="s">
        <v>203</v>
      </c>
      <c r="C66" s="60">
        <v>1027</v>
      </c>
      <c r="D66" s="60">
        <v>2875</v>
      </c>
      <c r="E66" s="60">
        <v>2806</v>
      </c>
      <c r="F66" s="60">
        <v>1377</v>
      </c>
      <c r="G66" s="60">
        <v>1705</v>
      </c>
      <c r="H66" s="60">
        <v>898</v>
      </c>
      <c r="I66" s="60">
        <v>2156</v>
      </c>
      <c r="J66" s="60">
        <v>2228</v>
      </c>
      <c r="K66" s="60">
        <v>4540</v>
      </c>
      <c r="L66" s="60">
        <v>2900</v>
      </c>
      <c r="M66" s="60">
        <v>3330</v>
      </c>
      <c r="N66" s="60">
        <v>901</v>
      </c>
      <c r="O66" s="60">
        <v>2274</v>
      </c>
      <c r="P66" s="61">
        <f t="shared" si="0"/>
        <v>29017</v>
      </c>
    </row>
    <row r="67" spans="1:16" s="47" customFormat="1" ht="15" customHeight="1" x14ac:dyDescent="0.2">
      <c r="A67" s="53" t="s">
        <v>204</v>
      </c>
      <c r="B67" s="54" t="s">
        <v>205</v>
      </c>
      <c r="C67" s="55">
        <v>5970</v>
      </c>
      <c r="D67" s="55">
        <v>13432</v>
      </c>
      <c r="E67" s="55">
        <v>12952</v>
      </c>
      <c r="F67" s="55">
        <v>6557</v>
      </c>
      <c r="G67" s="55">
        <v>7968</v>
      </c>
      <c r="H67" s="55">
        <v>2928</v>
      </c>
      <c r="I67" s="55">
        <v>3648</v>
      </c>
      <c r="J67" s="55">
        <v>5210</v>
      </c>
      <c r="K67" s="55">
        <v>6956</v>
      </c>
      <c r="L67" s="55">
        <v>2244</v>
      </c>
      <c r="M67" s="55">
        <v>2047</v>
      </c>
      <c r="N67" s="55">
        <v>0</v>
      </c>
      <c r="O67" s="55">
        <v>0</v>
      </c>
      <c r="P67" s="56">
        <f t="shared" si="0"/>
        <v>69912</v>
      </c>
    </row>
    <row r="68" spans="1:16" s="47" customFormat="1" ht="15" customHeight="1" x14ac:dyDescent="0.2">
      <c r="A68" s="58" t="s">
        <v>206</v>
      </c>
      <c r="B68" s="59" t="s">
        <v>207</v>
      </c>
      <c r="C68" s="60">
        <v>45966</v>
      </c>
      <c r="D68" s="60">
        <v>30391</v>
      </c>
      <c r="E68" s="60">
        <v>22822</v>
      </c>
      <c r="F68" s="60">
        <v>12393</v>
      </c>
      <c r="G68" s="60">
        <v>20219</v>
      </c>
      <c r="H68" s="60">
        <v>6728</v>
      </c>
      <c r="I68" s="60">
        <v>7255</v>
      </c>
      <c r="J68" s="60">
        <v>4716</v>
      </c>
      <c r="K68" s="60">
        <v>3535</v>
      </c>
      <c r="L68" s="60">
        <v>984</v>
      </c>
      <c r="M68" s="60">
        <v>0</v>
      </c>
      <c r="N68" s="60">
        <v>0</v>
      </c>
      <c r="O68" s="60">
        <v>0</v>
      </c>
      <c r="P68" s="61">
        <f t="shared" si="0"/>
        <v>155009</v>
      </c>
    </row>
    <row r="69" spans="1:16" s="47" customFormat="1" ht="15" customHeight="1" x14ac:dyDescent="0.2">
      <c r="A69" s="53" t="s">
        <v>208</v>
      </c>
      <c r="B69" s="54" t="s">
        <v>209</v>
      </c>
      <c r="C69" s="55">
        <v>24172</v>
      </c>
      <c r="D69" s="55">
        <v>50228</v>
      </c>
      <c r="E69" s="55">
        <v>38461</v>
      </c>
      <c r="F69" s="55">
        <v>14081</v>
      </c>
      <c r="G69" s="55">
        <v>12662</v>
      </c>
      <c r="H69" s="55">
        <v>4429</v>
      </c>
      <c r="I69" s="55">
        <v>3744</v>
      </c>
      <c r="J69" s="55">
        <v>3185</v>
      </c>
      <c r="K69" s="55">
        <v>3091</v>
      </c>
      <c r="L69" s="55">
        <v>1387</v>
      </c>
      <c r="M69" s="55">
        <v>511</v>
      </c>
      <c r="N69" s="55">
        <v>771</v>
      </c>
      <c r="O69" s="55">
        <v>1002</v>
      </c>
      <c r="P69" s="56">
        <f t="shared" si="0"/>
        <v>157724</v>
      </c>
    </row>
    <row r="70" spans="1:16" s="47" customFormat="1" ht="15" customHeight="1" x14ac:dyDescent="0.2">
      <c r="A70" s="58" t="s">
        <v>210</v>
      </c>
      <c r="B70" s="59" t="s">
        <v>211</v>
      </c>
      <c r="C70" s="60">
        <v>5978</v>
      </c>
      <c r="D70" s="60">
        <v>11817</v>
      </c>
      <c r="E70" s="60">
        <v>12912</v>
      </c>
      <c r="F70" s="60">
        <v>8760</v>
      </c>
      <c r="G70" s="60">
        <v>18423</v>
      </c>
      <c r="H70" s="60">
        <v>12455</v>
      </c>
      <c r="I70" s="60">
        <v>16466</v>
      </c>
      <c r="J70" s="60">
        <v>22584</v>
      </c>
      <c r="K70" s="60">
        <v>32082</v>
      </c>
      <c r="L70" s="60">
        <v>28802</v>
      </c>
      <c r="M70" s="60">
        <v>8211</v>
      </c>
      <c r="N70" s="60">
        <v>3522</v>
      </c>
      <c r="O70" s="60">
        <v>25818</v>
      </c>
      <c r="P70" s="61">
        <f t="shared" si="0"/>
        <v>207830</v>
      </c>
    </row>
    <row r="71" spans="1:16" s="47" customFormat="1" ht="15" customHeight="1" x14ac:dyDescent="0.2">
      <c r="A71" s="53" t="s">
        <v>212</v>
      </c>
      <c r="B71" s="54" t="s">
        <v>213</v>
      </c>
      <c r="C71" s="55">
        <v>9506</v>
      </c>
      <c r="D71" s="55">
        <v>19633</v>
      </c>
      <c r="E71" s="55">
        <v>22794</v>
      </c>
      <c r="F71" s="55">
        <v>19830</v>
      </c>
      <c r="G71" s="55">
        <v>36782</v>
      </c>
      <c r="H71" s="55">
        <v>14299</v>
      </c>
      <c r="I71" s="55">
        <v>14631</v>
      </c>
      <c r="J71" s="55">
        <v>14623</v>
      </c>
      <c r="K71" s="55">
        <v>18188</v>
      </c>
      <c r="L71" s="55">
        <v>7944</v>
      </c>
      <c r="M71" s="55">
        <v>4066</v>
      </c>
      <c r="N71" s="55">
        <v>0</v>
      </c>
      <c r="O71" s="55">
        <v>3394</v>
      </c>
      <c r="P71" s="56">
        <f t="shared" si="0"/>
        <v>185690</v>
      </c>
    </row>
    <row r="72" spans="1:16" s="47" customFormat="1" ht="15" customHeight="1" x14ac:dyDescent="0.2">
      <c r="A72" s="58" t="s">
        <v>214</v>
      </c>
      <c r="B72" s="59" t="s">
        <v>215</v>
      </c>
      <c r="C72" s="60">
        <v>484</v>
      </c>
      <c r="D72" s="60">
        <v>838</v>
      </c>
      <c r="E72" s="60">
        <v>1039</v>
      </c>
      <c r="F72" s="60">
        <v>777</v>
      </c>
      <c r="G72" s="60">
        <v>1632</v>
      </c>
      <c r="H72" s="60">
        <v>769</v>
      </c>
      <c r="I72" s="60">
        <v>1135</v>
      </c>
      <c r="J72" s="60">
        <v>1788</v>
      </c>
      <c r="K72" s="60">
        <v>2664</v>
      </c>
      <c r="L72" s="60">
        <v>2176</v>
      </c>
      <c r="M72" s="60">
        <v>1857</v>
      </c>
      <c r="N72" s="60">
        <v>0</v>
      </c>
      <c r="O72" s="60">
        <v>2367</v>
      </c>
      <c r="P72" s="61">
        <f t="shared" si="0"/>
        <v>17526</v>
      </c>
    </row>
    <row r="73" spans="1:16" s="47" customFormat="1" ht="15" customHeight="1" x14ac:dyDescent="0.2">
      <c r="A73" s="53" t="s">
        <v>216</v>
      </c>
      <c r="B73" s="54" t="s">
        <v>217</v>
      </c>
      <c r="C73" s="55">
        <v>2840</v>
      </c>
      <c r="D73" s="55">
        <v>5351</v>
      </c>
      <c r="E73" s="55">
        <v>5390</v>
      </c>
      <c r="F73" s="55">
        <v>3758</v>
      </c>
      <c r="G73" s="55">
        <v>6929</v>
      </c>
      <c r="H73" s="55">
        <v>3536</v>
      </c>
      <c r="I73" s="55">
        <v>4600</v>
      </c>
      <c r="J73" s="55">
        <v>5804</v>
      </c>
      <c r="K73" s="55">
        <v>7700</v>
      </c>
      <c r="L73" s="55">
        <v>3594</v>
      </c>
      <c r="M73" s="55">
        <v>1210</v>
      </c>
      <c r="N73" s="55">
        <v>0</v>
      </c>
      <c r="O73" s="55">
        <v>4854</v>
      </c>
      <c r="P73" s="56">
        <f t="shared" si="0"/>
        <v>55566</v>
      </c>
    </row>
    <row r="74" spans="1:16" s="47" customFormat="1" ht="15" customHeight="1" x14ac:dyDescent="0.2">
      <c r="A74" s="58" t="s">
        <v>218</v>
      </c>
      <c r="B74" s="59" t="s">
        <v>219</v>
      </c>
      <c r="C74" s="60">
        <v>4282</v>
      </c>
      <c r="D74" s="60">
        <v>6462</v>
      </c>
      <c r="E74" s="60">
        <v>6019</v>
      </c>
      <c r="F74" s="60">
        <v>3883</v>
      </c>
      <c r="G74" s="60">
        <v>5493</v>
      </c>
      <c r="H74" s="60">
        <v>2327</v>
      </c>
      <c r="I74" s="60">
        <v>2232</v>
      </c>
      <c r="J74" s="60">
        <v>2087</v>
      </c>
      <c r="K74" s="60">
        <v>1606</v>
      </c>
      <c r="L74" s="60">
        <v>1266</v>
      </c>
      <c r="M74" s="60">
        <v>503</v>
      </c>
      <c r="N74" s="60">
        <v>0</v>
      </c>
      <c r="O74" s="60">
        <v>4050</v>
      </c>
      <c r="P74" s="61">
        <f t="shared" ref="P74:P97" si="1">SUM(C74:O74)</f>
        <v>40210</v>
      </c>
    </row>
    <row r="75" spans="1:16" s="47" customFormat="1" ht="15" customHeight="1" x14ac:dyDescent="0.2">
      <c r="A75" s="53" t="s">
        <v>220</v>
      </c>
      <c r="B75" s="54" t="s">
        <v>221</v>
      </c>
      <c r="C75" s="55">
        <v>2162</v>
      </c>
      <c r="D75" s="55">
        <v>3675</v>
      </c>
      <c r="E75" s="55">
        <v>2524</v>
      </c>
      <c r="F75" s="55">
        <v>1147</v>
      </c>
      <c r="G75" s="55">
        <v>1573</v>
      </c>
      <c r="H75" s="55">
        <v>429</v>
      </c>
      <c r="I75" s="55">
        <v>374</v>
      </c>
      <c r="J75" s="55">
        <v>207</v>
      </c>
      <c r="K75" s="55">
        <v>609</v>
      </c>
      <c r="L75" s="55">
        <v>647</v>
      </c>
      <c r="M75" s="55">
        <v>0</v>
      </c>
      <c r="N75" s="55">
        <v>0</v>
      </c>
      <c r="O75" s="55">
        <v>0</v>
      </c>
      <c r="P75" s="56">
        <f t="shared" si="1"/>
        <v>13347</v>
      </c>
    </row>
    <row r="76" spans="1:16" s="47" customFormat="1" ht="15" customHeight="1" x14ac:dyDescent="0.2">
      <c r="A76" s="58" t="s">
        <v>222</v>
      </c>
      <c r="B76" s="59" t="s">
        <v>223</v>
      </c>
      <c r="C76" s="60">
        <v>3191</v>
      </c>
      <c r="D76" s="60">
        <v>4951</v>
      </c>
      <c r="E76" s="60">
        <v>4472</v>
      </c>
      <c r="F76" s="60">
        <v>3179</v>
      </c>
      <c r="G76" s="60">
        <v>4938</v>
      </c>
      <c r="H76" s="60">
        <v>1924</v>
      </c>
      <c r="I76" s="60">
        <v>2037</v>
      </c>
      <c r="J76" s="60">
        <v>1958</v>
      </c>
      <c r="K76" s="60">
        <v>1817</v>
      </c>
      <c r="L76" s="60">
        <v>357</v>
      </c>
      <c r="M76" s="60">
        <v>0</v>
      </c>
      <c r="N76" s="60">
        <v>0</v>
      </c>
      <c r="O76" s="60">
        <v>0</v>
      </c>
      <c r="P76" s="61">
        <f t="shared" si="1"/>
        <v>28824</v>
      </c>
    </row>
    <row r="77" spans="1:16" s="47" customFormat="1" ht="15" customHeight="1" x14ac:dyDescent="0.2">
      <c r="A77" s="53" t="s">
        <v>224</v>
      </c>
      <c r="B77" s="54" t="s">
        <v>225</v>
      </c>
      <c r="C77" s="55">
        <v>584</v>
      </c>
      <c r="D77" s="55">
        <v>1425</v>
      </c>
      <c r="E77" s="55">
        <v>1956</v>
      </c>
      <c r="F77" s="55">
        <v>1751</v>
      </c>
      <c r="G77" s="55">
        <v>4552</v>
      </c>
      <c r="H77" s="55">
        <v>3408</v>
      </c>
      <c r="I77" s="55">
        <v>6875</v>
      </c>
      <c r="J77" s="55">
        <v>11932</v>
      </c>
      <c r="K77" s="55">
        <v>21871</v>
      </c>
      <c r="L77" s="55">
        <v>17945</v>
      </c>
      <c r="M77" s="55">
        <v>6372</v>
      </c>
      <c r="N77" s="55">
        <v>5004</v>
      </c>
      <c r="O77" s="55">
        <v>29011</v>
      </c>
      <c r="P77" s="56">
        <f t="shared" si="1"/>
        <v>112686</v>
      </c>
    </row>
    <row r="78" spans="1:16" s="47" customFormat="1" ht="15" customHeight="1" x14ac:dyDescent="0.2">
      <c r="A78" s="58" t="s">
        <v>226</v>
      </c>
      <c r="B78" s="59" t="s">
        <v>227</v>
      </c>
      <c r="C78" s="60">
        <v>3752</v>
      </c>
      <c r="D78" s="60">
        <v>8183</v>
      </c>
      <c r="E78" s="60">
        <v>9040</v>
      </c>
      <c r="F78" s="60">
        <v>6137</v>
      </c>
      <c r="G78" s="60">
        <v>11907</v>
      </c>
      <c r="H78" s="60">
        <v>6326</v>
      </c>
      <c r="I78" s="60">
        <v>5519</v>
      </c>
      <c r="J78" s="60">
        <v>5819</v>
      </c>
      <c r="K78" s="60">
        <v>5142</v>
      </c>
      <c r="L78" s="60">
        <v>3459</v>
      </c>
      <c r="M78" s="60">
        <v>563</v>
      </c>
      <c r="N78" s="60">
        <v>0</v>
      </c>
      <c r="O78" s="60">
        <v>0</v>
      </c>
      <c r="P78" s="61">
        <f t="shared" si="1"/>
        <v>65847</v>
      </c>
    </row>
    <row r="79" spans="1:16" s="47" customFormat="1" ht="15" customHeight="1" x14ac:dyDescent="0.2">
      <c r="A79" s="53" t="s">
        <v>228</v>
      </c>
      <c r="B79" s="54" t="s">
        <v>229</v>
      </c>
      <c r="C79" s="55">
        <v>4216</v>
      </c>
      <c r="D79" s="55">
        <v>14788</v>
      </c>
      <c r="E79" s="55">
        <v>20309</v>
      </c>
      <c r="F79" s="55">
        <v>13464</v>
      </c>
      <c r="G79" s="55">
        <v>26032</v>
      </c>
      <c r="H79" s="55">
        <v>14853</v>
      </c>
      <c r="I79" s="55">
        <v>20306</v>
      </c>
      <c r="J79" s="55">
        <v>28273</v>
      </c>
      <c r="K79" s="55">
        <v>38883</v>
      </c>
      <c r="L79" s="55">
        <v>19920</v>
      </c>
      <c r="M79" s="55">
        <v>5827</v>
      </c>
      <c r="N79" s="55">
        <v>6441</v>
      </c>
      <c r="O79" s="55">
        <v>26444</v>
      </c>
      <c r="P79" s="56">
        <f t="shared" si="1"/>
        <v>239756</v>
      </c>
    </row>
    <row r="80" spans="1:16" s="47" customFormat="1" ht="15" customHeight="1" x14ac:dyDescent="0.2">
      <c r="A80" s="58" t="s">
        <v>230</v>
      </c>
      <c r="B80" s="59" t="s">
        <v>231</v>
      </c>
      <c r="C80" s="60">
        <v>11999</v>
      </c>
      <c r="D80" s="60">
        <v>16298</v>
      </c>
      <c r="E80" s="60">
        <v>18816</v>
      </c>
      <c r="F80" s="60">
        <v>13541</v>
      </c>
      <c r="G80" s="60">
        <v>34568</v>
      </c>
      <c r="H80" s="60">
        <v>26845</v>
      </c>
      <c r="I80" s="60">
        <v>40798</v>
      </c>
      <c r="J80" s="60">
        <v>61583</v>
      </c>
      <c r="K80" s="60">
        <v>87266</v>
      </c>
      <c r="L80" s="60">
        <v>67204</v>
      </c>
      <c r="M80" s="60">
        <v>36442</v>
      </c>
      <c r="N80" s="60">
        <v>20308</v>
      </c>
      <c r="O80" s="60">
        <v>68383</v>
      </c>
      <c r="P80" s="61">
        <f t="shared" si="1"/>
        <v>504051</v>
      </c>
    </row>
    <row r="81" spans="1:16" s="47" customFormat="1" ht="15" customHeight="1" x14ac:dyDescent="0.2">
      <c r="A81" s="53" t="s">
        <v>232</v>
      </c>
      <c r="B81" s="54" t="s">
        <v>233</v>
      </c>
      <c r="C81" s="55">
        <v>12351</v>
      </c>
      <c r="D81" s="55">
        <v>24875</v>
      </c>
      <c r="E81" s="55">
        <v>26708</v>
      </c>
      <c r="F81" s="55">
        <v>18436</v>
      </c>
      <c r="G81" s="55">
        <v>37375</v>
      </c>
      <c r="H81" s="55">
        <v>24399</v>
      </c>
      <c r="I81" s="55">
        <v>32920</v>
      </c>
      <c r="J81" s="55">
        <v>42532</v>
      </c>
      <c r="K81" s="55">
        <v>70409</v>
      </c>
      <c r="L81" s="55">
        <v>58135</v>
      </c>
      <c r="M81" s="55">
        <v>25647</v>
      </c>
      <c r="N81" s="55">
        <v>26879</v>
      </c>
      <c r="O81" s="55">
        <v>75412</v>
      </c>
      <c r="P81" s="56">
        <f t="shared" si="1"/>
        <v>476078</v>
      </c>
    </row>
    <row r="82" spans="1:16" s="47" customFormat="1" ht="15" customHeight="1" x14ac:dyDescent="0.2">
      <c r="A82" s="58" t="s">
        <v>234</v>
      </c>
      <c r="B82" s="59" t="s">
        <v>235</v>
      </c>
      <c r="C82" s="60">
        <v>955</v>
      </c>
      <c r="D82" s="60">
        <v>2460</v>
      </c>
      <c r="E82" s="60">
        <v>4130</v>
      </c>
      <c r="F82" s="60">
        <v>3530</v>
      </c>
      <c r="G82" s="60">
        <v>10981</v>
      </c>
      <c r="H82" s="60">
        <v>9455</v>
      </c>
      <c r="I82" s="60">
        <v>15892</v>
      </c>
      <c r="J82" s="60">
        <v>27951</v>
      </c>
      <c r="K82" s="60">
        <v>51004</v>
      </c>
      <c r="L82" s="60">
        <v>46278</v>
      </c>
      <c r="M82" s="60">
        <v>25248</v>
      </c>
      <c r="N82" s="60">
        <v>27791</v>
      </c>
      <c r="O82" s="60">
        <v>62202</v>
      </c>
      <c r="P82" s="61">
        <f t="shared" si="1"/>
        <v>287877</v>
      </c>
    </row>
    <row r="83" spans="1:16" s="47" customFormat="1" ht="15" customHeight="1" x14ac:dyDescent="0.2">
      <c r="A83" s="53" t="s">
        <v>236</v>
      </c>
      <c r="B83" s="54" t="s">
        <v>237</v>
      </c>
      <c r="C83" s="55">
        <v>6271</v>
      </c>
      <c r="D83" s="55">
        <v>18549</v>
      </c>
      <c r="E83" s="55">
        <v>39783</v>
      </c>
      <c r="F83" s="55">
        <v>41852</v>
      </c>
      <c r="G83" s="55">
        <v>90507</v>
      </c>
      <c r="H83" s="55">
        <v>55106</v>
      </c>
      <c r="I83" s="55">
        <v>64990</v>
      </c>
      <c r="J83" s="55">
        <v>100353</v>
      </c>
      <c r="K83" s="55">
        <v>110287</v>
      </c>
      <c r="L83" s="55">
        <v>59076</v>
      </c>
      <c r="M83" s="55">
        <v>22257</v>
      </c>
      <c r="N83" s="55">
        <v>16444</v>
      </c>
      <c r="O83" s="55">
        <v>28879</v>
      </c>
      <c r="P83" s="56">
        <f t="shared" si="1"/>
        <v>654354</v>
      </c>
    </row>
    <row r="84" spans="1:16" s="47" customFormat="1" ht="15" customHeight="1" x14ac:dyDescent="0.2">
      <c r="A84" s="58" t="s">
        <v>238</v>
      </c>
      <c r="B84" s="59" t="s">
        <v>239</v>
      </c>
      <c r="C84" s="60">
        <v>15090</v>
      </c>
      <c r="D84" s="60">
        <v>32107</v>
      </c>
      <c r="E84" s="60">
        <v>28327</v>
      </c>
      <c r="F84" s="60">
        <v>19182</v>
      </c>
      <c r="G84" s="60">
        <v>44455</v>
      </c>
      <c r="H84" s="60">
        <v>31784</v>
      </c>
      <c r="I84" s="60">
        <v>43914</v>
      </c>
      <c r="J84" s="60">
        <v>69931</v>
      </c>
      <c r="K84" s="60">
        <v>132340</v>
      </c>
      <c r="L84" s="60">
        <v>161865</v>
      </c>
      <c r="M84" s="60">
        <v>94928</v>
      </c>
      <c r="N84" s="60">
        <v>61619</v>
      </c>
      <c r="O84" s="60">
        <v>115385</v>
      </c>
      <c r="P84" s="61">
        <f t="shared" si="1"/>
        <v>850927</v>
      </c>
    </row>
    <row r="85" spans="1:16" s="47" customFormat="1" ht="15" customHeight="1" x14ac:dyDescent="0.2">
      <c r="A85" s="53" t="s">
        <v>240</v>
      </c>
      <c r="B85" s="54" t="s">
        <v>241</v>
      </c>
      <c r="C85" s="55">
        <v>251</v>
      </c>
      <c r="D85" s="55">
        <v>711</v>
      </c>
      <c r="E85" s="55">
        <v>1526</v>
      </c>
      <c r="F85" s="55">
        <v>1644</v>
      </c>
      <c r="G85" s="55">
        <v>5871</v>
      </c>
      <c r="H85" s="55">
        <v>7043</v>
      </c>
      <c r="I85" s="55">
        <v>13802</v>
      </c>
      <c r="J85" s="55">
        <v>14879</v>
      </c>
      <c r="K85" s="55">
        <v>4776</v>
      </c>
      <c r="L85" s="55">
        <v>291</v>
      </c>
      <c r="M85" s="55">
        <v>655</v>
      </c>
      <c r="N85" s="55">
        <v>955</v>
      </c>
      <c r="O85" s="55">
        <v>0</v>
      </c>
      <c r="P85" s="56">
        <f t="shared" si="1"/>
        <v>52404</v>
      </c>
    </row>
    <row r="86" spans="1:16" s="47" customFormat="1" ht="15" customHeight="1" x14ac:dyDescent="0.2">
      <c r="A86" s="58" t="s">
        <v>242</v>
      </c>
      <c r="B86" s="59" t="s">
        <v>243</v>
      </c>
      <c r="C86" s="60">
        <v>522</v>
      </c>
      <c r="D86" s="60">
        <v>1570</v>
      </c>
      <c r="E86" s="60">
        <v>6171</v>
      </c>
      <c r="F86" s="60">
        <v>9505</v>
      </c>
      <c r="G86" s="60">
        <v>29374</v>
      </c>
      <c r="H86" s="60">
        <v>15492</v>
      </c>
      <c r="I86" s="60">
        <v>9769</v>
      </c>
      <c r="J86" s="60">
        <v>3434</v>
      </c>
      <c r="K86" s="60">
        <v>2570</v>
      </c>
      <c r="L86" s="60">
        <v>751</v>
      </c>
      <c r="M86" s="60">
        <v>1817</v>
      </c>
      <c r="N86" s="60">
        <v>0</v>
      </c>
      <c r="O86" s="60">
        <v>0</v>
      </c>
      <c r="P86" s="61">
        <f t="shared" si="1"/>
        <v>80975</v>
      </c>
    </row>
    <row r="87" spans="1:16" s="47" customFormat="1" ht="15" customHeight="1" x14ac:dyDescent="0.2">
      <c r="A87" s="53" t="s">
        <v>244</v>
      </c>
      <c r="B87" s="54" t="s">
        <v>245</v>
      </c>
      <c r="C87" s="55">
        <v>775</v>
      </c>
      <c r="D87" s="55">
        <v>1164</v>
      </c>
      <c r="E87" s="55">
        <v>1177</v>
      </c>
      <c r="F87" s="55">
        <v>924</v>
      </c>
      <c r="G87" s="55">
        <v>1916</v>
      </c>
      <c r="H87" s="55">
        <v>1166</v>
      </c>
      <c r="I87" s="55">
        <v>774</v>
      </c>
      <c r="J87" s="55">
        <v>1079</v>
      </c>
      <c r="K87" s="55">
        <v>991</v>
      </c>
      <c r="L87" s="55">
        <v>732</v>
      </c>
      <c r="M87" s="55">
        <v>0</v>
      </c>
      <c r="N87" s="55">
        <v>0</v>
      </c>
      <c r="O87" s="55">
        <v>4430</v>
      </c>
      <c r="P87" s="56">
        <f t="shared" si="1"/>
        <v>15128</v>
      </c>
    </row>
    <row r="88" spans="1:16" s="47" customFormat="1" ht="15" customHeight="1" x14ac:dyDescent="0.2">
      <c r="A88" s="58" t="s">
        <v>246</v>
      </c>
      <c r="B88" s="59" t="s">
        <v>247</v>
      </c>
      <c r="C88" s="60">
        <v>390</v>
      </c>
      <c r="D88" s="60">
        <v>481</v>
      </c>
      <c r="E88" s="60">
        <v>581</v>
      </c>
      <c r="F88" s="60">
        <v>407</v>
      </c>
      <c r="G88" s="60">
        <v>690</v>
      </c>
      <c r="H88" s="60">
        <v>473</v>
      </c>
      <c r="I88" s="60">
        <v>487</v>
      </c>
      <c r="J88" s="60">
        <v>825</v>
      </c>
      <c r="K88" s="60">
        <v>375</v>
      </c>
      <c r="L88" s="60">
        <v>0</v>
      </c>
      <c r="M88" s="60">
        <v>0</v>
      </c>
      <c r="N88" s="60">
        <v>0</v>
      </c>
      <c r="O88" s="60">
        <v>0</v>
      </c>
      <c r="P88" s="61">
        <f t="shared" si="1"/>
        <v>4709</v>
      </c>
    </row>
    <row r="89" spans="1:16" s="47" customFormat="1" ht="15" customHeight="1" x14ac:dyDescent="0.2">
      <c r="A89" s="53" t="s">
        <v>248</v>
      </c>
      <c r="B89" s="54" t="s">
        <v>249</v>
      </c>
      <c r="C89" s="55">
        <v>1173</v>
      </c>
      <c r="D89" s="55">
        <v>1726</v>
      </c>
      <c r="E89" s="55">
        <v>658</v>
      </c>
      <c r="F89" s="55">
        <v>253</v>
      </c>
      <c r="G89" s="55">
        <v>197</v>
      </c>
      <c r="H89" s="55">
        <v>91</v>
      </c>
      <c r="I89" s="55">
        <v>182</v>
      </c>
      <c r="J89" s="55">
        <v>71</v>
      </c>
      <c r="K89" s="55">
        <v>717</v>
      </c>
      <c r="L89" s="55">
        <v>0</v>
      </c>
      <c r="M89" s="55">
        <v>0</v>
      </c>
      <c r="N89" s="55">
        <v>0</v>
      </c>
      <c r="O89" s="55">
        <v>0</v>
      </c>
      <c r="P89" s="56">
        <f t="shared" si="1"/>
        <v>5068</v>
      </c>
    </row>
    <row r="90" spans="1:16" s="47" customFormat="1" ht="15" customHeight="1" x14ac:dyDescent="0.2">
      <c r="A90" s="58" t="s">
        <v>250</v>
      </c>
      <c r="B90" s="59" t="s">
        <v>251</v>
      </c>
      <c r="C90" s="60">
        <v>4926</v>
      </c>
      <c r="D90" s="60">
        <v>9013</v>
      </c>
      <c r="E90" s="60">
        <v>8232</v>
      </c>
      <c r="F90" s="60">
        <v>5067</v>
      </c>
      <c r="G90" s="60">
        <v>8767</v>
      </c>
      <c r="H90" s="60">
        <v>4605</v>
      </c>
      <c r="I90" s="60">
        <v>7465</v>
      </c>
      <c r="J90" s="60">
        <v>5817</v>
      </c>
      <c r="K90" s="60">
        <v>6459</v>
      </c>
      <c r="L90" s="60">
        <v>2134</v>
      </c>
      <c r="M90" s="60">
        <v>1274</v>
      </c>
      <c r="N90" s="60">
        <v>0</v>
      </c>
      <c r="O90" s="60">
        <v>2398</v>
      </c>
      <c r="P90" s="61">
        <f t="shared" si="1"/>
        <v>66157</v>
      </c>
    </row>
    <row r="91" spans="1:16" s="47" customFormat="1" ht="15" customHeight="1" x14ac:dyDescent="0.2">
      <c r="A91" s="53" t="s">
        <v>252</v>
      </c>
      <c r="B91" s="54" t="s">
        <v>253</v>
      </c>
      <c r="C91" s="55">
        <v>5287</v>
      </c>
      <c r="D91" s="55">
        <v>8361</v>
      </c>
      <c r="E91" s="55">
        <v>10228</v>
      </c>
      <c r="F91" s="55">
        <v>6646</v>
      </c>
      <c r="G91" s="55">
        <v>9807</v>
      </c>
      <c r="H91" s="55">
        <v>5766</v>
      </c>
      <c r="I91" s="55">
        <v>5872</v>
      </c>
      <c r="J91" s="55">
        <v>5316</v>
      </c>
      <c r="K91" s="55">
        <v>1811</v>
      </c>
      <c r="L91" s="55">
        <v>1010</v>
      </c>
      <c r="M91" s="55">
        <v>0</v>
      </c>
      <c r="N91" s="55">
        <v>968</v>
      </c>
      <c r="O91" s="55">
        <v>0</v>
      </c>
      <c r="P91" s="56">
        <f t="shared" si="1"/>
        <v>61072</v>
      </c>
    </row>
    <row r="92" spans="1:16" s="47" customFormat="1" ht="15" customHeight="1" x14ac:dyDescent="0.2">
      <c r="A92" s="58" t="s">
        <v>254</v>
      </c>
      <c r="B92" s="59" t="s">
        <v>255</v>
      </c>
      <c r="C92" s="60">
        <v>6861</v>
      </c>
      <c r="D92" s="60">
        <v>8708</v>
      </c>
      <c r="E92" s="60">
        <v>6728</v>
      </c>
      <c r="F92" s="60">
        <v>3810</v>
      </c>
      <c r="G92" s="60">
        <v>9227</v>
      </c>
      <c r="H92" s="60">
        <v>4874</v>
      </c>
      <c r="I92" s="60">
        <v>4979</v>
      </c>
      <c r="J92" s="60">
        <v>2504</v>
      </c>
      <c r="K92" s="60">
        <v>1543</v>
      </c>
      <c r="L92" s="60">
        <v>1344</v>
      </c>
      <c r="M92" s="60">
        <v>0</v>
      </c>
      <c r="N92" s="60">
        <v>0</v>
      </c>
      <c r="O92" s="60">
        <v>0</v>
      </c>
      <c r="P92" s="61">
        <f t="shared" si="1"/>
        <v>50578</v>
      </c>
    </row>
    <row r="93" spans="1:16" s="47" customFormat="1" ht="15" customHeight="1" x14ac:dyDescent="0.2">
      <c r="A93" s="53" t="s">
        <v>256</v>
      </c>
      <c r="B93" s="54" t="s">
        <v>257</v>
      </c>
      <c r="C93" s="55">
        <v>20897</v>
      </c>
      <c r="D93" s="55">
        <v>28153</v>
      </c>
      <c r="E93" s="55">
        <v>23875</v>
      </c>
      <c r="F93" s="55">
        <v>13381</v>
      </c>
      <c r="G93" s="55">
        <v>16555</v>
      </c>
      <c r="H93" s="55">
        <v>5394</v>
      </c>
      <c r="I93" s="55">
        <v>4624</v>
      </c>
      <c r="J93" s="55">
        <v>4451</v>
      </c>
      <c r="K93" s="55">
        <v>2511</v>
      </c>
      <c r="L93" s="55">
        <v>2496</v>
      </c>
      <c r="M93" s="55">
        <v>1140</v>
      </c>
      <c r="N93" s="55">
        <v>0</v>
      </c>
      <c r="O93" s="55">
        <v>1180</v>
      </c>
      <c r="P93" s="56">
        <f t="shared" si="1"/>
        <v>124657</v>
      </c>
    </row>
    <row r="94" spans="1:16" s="47" customFormat="1" ht="15" customHeight="1" x14ac:dyDescent="0.2">
      <c r="A94" s="58" t="s">
        <v>258</v>
      </c>
      <c r="B94" s="59" t="s">
        <v>259</v>
      </c>
      <c r="C94" s="60">
        <v>31984</v>
      </c>
      <c r="D94" s="60">
        <v>2262</v>
      </c>
      <c r="E94" s="60">
        <v>422</v>
      </c>
      <c r="F94" s="60">
        <v>151</v>
      </c>
      <c r="G94" s="60">
        <v>66</v>
      </c>
      <c r="H94" s="60">
        <v>0</v>
      </c>
      <c r="I94" s="60">
        <v>0</v>
      </c>
      <c r="J94" s="60">
        <v>0</v>
      </c>
      <c r="K94" s="60">
        <v>0</v>
      </c>
      <c r="L94" s="60">
        <v>0</v>
      </c>
      <c r="M94" s="60">
        <v>0</v>
      </c>
      <c r="N94" s="60">
        <v>0</v>
      </c>
      <c r="O94" s="60">
        <v>0</v>
      </c>
      <c r="P94" s="61">
        <f t="shared" si="1"/>
        <v>34885</v>
      </c>
    </row>
    <row r="95" spans="1:16" s="47" customFormat="1" ht="15" customHeight="1" x14ac:dyDescent="0.2">
      <c r="A95" s="53" t="s">
        <v>260</v>
      </c>
      <c r="B95" s="54" t="s">
        <v>261</v>
      </c>
      <c r="C95" s="55">
        <v>94</v>
      </c>
      <c r="D95" s="55">
        <v>63</v>
      </c>
      <c r="E95" s="55">
        <v>71</v>
      </c>
      <c r="F95" s="55">
        <v>7</v>
      </c>
      <c r="G95" s="55">
        <v>0</v>
      </c>
      <c r="H95" s="55">
        <v>20</v>
      </c>
      <c r="I95" s="55">
        <v>0</v>
      </c>
      <c r="J95" s="55">
        <v>0</v>
      </c>
      <c r="K95" s="55">
        <v>0</v>
      </c>
      <c r="L95" s="55">
        <v>0</v>
      </c>
      <c r="M95" s="55">
        <v>0</v>
      </c>
      <c r="N95" s="55">
        <v>0</v>
      </c>
      <c r="O95" s="55">
        <v>0</v>
      </c>
      <c r="P95" s="56">
        <f t="shared" si="1"/>
        <v>255</v>
      </c>
    </row>
    <row r="96" spans="1:16" s="47" customFormat="1" ht="15" customHeight="1" x14ac:dyDescent="0.2">
      <c r="A96" s="58" t="s">
        <v>262</v>
      </c>
      <c r="B96" s="59" t="s">
        <v>263</v>
      </c>
      <c r="C96" s="60">
        <v>99</v>
      </c>
      <c r="D96" s="60">
        <v>226</v>
      </c>
      <c r="E96" s="60">
        <v>427</v>
      </c>
      <c r="F96" s="60">
        <v>370</v>
      </c>
      <c r="G96" s="60">
        <v>704</v>
      </c>
      <c r="H96" s="60">
        <v>459</v>
      </c>
      <c r="I96" s="60">
        <v>281</v>
      </c>
      <c r="J96" s="60">
        <v>969</v>
      </c>
      <c r="K96" s="60">
        <v>698</v>
      </c>
      <c r="L96" s="60">
        <v>0</v>
      </c>
      <c r="M96" s="60">
        <v>0</v>
      </c>
      <c r="N96" s="60">
        <v>0</v>
      </c>
      <c r="O96" s="60">
        <v>0</v>
      </c>
      <c r="P96" s="61">
        <f t="shared" si="1"/>
        <v>4233</v>
      </c>
    </row>
    <row r="97" spans="1:16" s="47" customFormat="1" ht="15" customHeight="1" x14ac:dyDescent="0.2">
      <c r="A97" s="53" t="s">
        <v>271</v>
      </c>
      <c r="B97" s="54" t="s">
        <v>272</v>
      </c>
      <c r="C97" s="55">
        <v>22965</v>
      </c>
      <c r="D97" s="55">
        <v>3273</v>
      </c>
      <c r="E97" s="55">
        <v>524</v>
      </c>
      <c r="F97" s="55">
        <v>112</v>
      </c>
      <c r="G97" s="55">
        <v>64</v>
      </c>
      <c r="H97" s="55">
        <v>27</v>
      </c>
      <c r="I97" s="55">
        <v>0</v>
      </c>
      <c r="J97" s="55">
        <v>0</v>
      </c>
      <c r="K97" s="55">
        <v>0</v>
      </c>
      <c r="L97" s="55">
        <v>0</v>
      </c>
      <c r="M97" s="55">
        <v>0</v>
      </c>
      <c r="N97" s="55">
        <v>0</v>
      </c>
      <c r="O97" s="55">
        <v>0</v>
      </c>
      <c r="P97" s="56">
        <f t="shared" si="1"/>
        <v>26965</v>
      </c>
    </row>
    <row r="98" spans="1:16" s="47" customFormat="1" ht="15" customHeight="1" x14ac:dyDescent="0.2">
      <c r="A98" s="69" t="s">
        <v>273</v>
      </c>
      <c r="B98" s="70"/>
      <c r="C98" s="63">
        <f>SUM(C9:C97)</f>
        <v>858476</v>
      </c>
      <c r="D98" s="63">
        <f t="shared" ref="D98:P98" si="2">SUM(D9:D97)</f>
        <v>1479231</v>
      </c>
      <c r="E98" s="63">
        <f t="shared" si="2"/>
        <v>1653273</v>
      </c>
      <c r="F98" s="63">
        <f t="shared" si="2"/>
        <v>1065599</v>
      </c>
      <c r="G98" s="63">
        <f t="shared" si="2"/>
        <v>2016346</v>
      </c>
      <c r="H98" s="63">
        <f t="shared" si="2"/>
        <v>1120010</v>
      </c>
      <c r="I98" s="63">
        <f t="shared" si="2"/>
        <v>1311436</v>
      </c>
      <c r="J98" s="63">
        <f t="shared" si="2"/>
        <v>1585307</v>
      </c>
      <c r="K98" s="63">
        <f t="shared" si="2"/>
        <v>1953518</v>
      </c>
      <c r="L98" s="63">
        <f t="shared" si="2"/>
        <v>1268216</v>
      </c>
      <c r="M98" s="63">
        <f t="shared" si="2"/>
        <v>664346</v>
      </c>
      <c r="N98" s="63">
        <f t="shared" si="2"/>
        <v>392409</v>
      </c>
      <c r="O98" s="63">
        <f t="shared" si="2"/>
        <v>1234701</v>
      </c>
      <c r="P98" s="63">
        <f t="shared" si="2"/>
        <v>16602868</v>
      </c>
    </row>
    <row r="99" spans="1:16" s="47" customFormat="1" ht="15" customHeight="1" x14ac:dyDescent="0.25">
      <c r="A99" s="71" t="s">
        <v>274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</row>
    <row r="100" spans="1:16" s="47" customFormat="1" ht="11.4" x14ac:dyDescent="0.2">
      <c r="A100" s="67"/>
      <c r="B100" s="72" t="s">
        <v>267</v>
      </c>
      <c r="C100" s="72"/>
      <c r="D100" s="72"/>
      <c r="E100" s="67"/>
      <c r="F100" s="67"/>
      <c r="G100" s="67"/>
      <c r="H100" s="67"/>
      <c r="I100" s="67"/>
      <c r="J100" s="72"/>
      <c r="K100" s="72"/>
      <c r="L100" s="72"/>
      <c r="M100" s="67"/>
      <c r="N100" s="67"/>
      <c r="O100" s="67"/>
      <c r="P100" s="67"/>
    </row>
    <row r="101" spans="1:16" s="47" customFormat="1" ht="12" x14ac:dyDescent="0.25">
      <c r="A101" s="62"/>
      <c r="B101" s="62"/>
      <c r="C101" s="57"/>
      <c r="D101" s="57"/>
      <c r="E101" s="57"/>
      <c r="F101" s="57"/>
      <c r="G101" s="57"/>
      <c r="H101" s="57"/>
      <c r="I101" s="62"/>
      <c r="J101" s="62"/>
      <c r="K101" s="57"/>
      <c r="L101" s="57"/>
      <c r="M101" s="57"/>
      <c r="N101" s="57"/>
      <c r="O101" s="57"/>
      <c r="P101" s="57"/>
    </row>
    <row r="102" spans="1:16" s="47" customFormat="1" ht="11.4" x14ac:dyDescent="0.2">
      <c r="B102" s="68"/>
      <c r="C102" s="57"/>
      <c r="D102" s="57"/>
      <c r="E102" s="57"/>
      <c r="F102" s="57"/>
      <c r="G102" s="57"/>
      <c r="H102" s="57"/>
      <c r="J102" s="68"/>
      <c r="K102" s="57"/>
      <c r="L102" s="57"/>
      <c r="M102" s="57"/>
      <c r="N102" s="57"/>
      <c r="O102" s="57"/>
      <c r="P102" s="57"/>
    </row>
    <row r="103" spans="1:16" s="47" customFormat="1" ht="11.4" x14ac:dyDescent="0.2">
      <c r="C103" s="65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</row>
    <row r="104" spans="1:16" s="47" customFormat="1" ht="11.4" x14ac:dyDescent="0.2">
      <c r="C104" s="65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</row>
    <row r="105" spans="1:16" s="47" customFormat="1" ht="11.4" x14ac:dyDescent="0.2">
      <c r="C105" s="64"/>
    </row>
    <row r="106" spans="1:16" s="47" customFormat="1" ht="11.4" x14ac:dyDescent="0.2">
      <c r="C106" s="64"/>
    </row>
    <row r="107" spans="1:16" s="47" customFormat="1" ht="11.4" x14ac:dyDescent="0.2">
      <c r="C107" s="64"/>
    </row>
    <row r="108" spans="1:16" s="47" customFormat="1" ht="11.4" x14ac:dyDescent="0.2">
      <c r="C108" s="64"/>
    </row>
    <row r="109" spans="1:16" s="47" customFormat="1" ht="11.4" x14ac:dyDescent="0.2">
      <c r="C109" s="64"/>
    </row>
    <row r="110" spans="1:16" s="47" customFormat="1" ht="11.4" x14ac:dyDescent="0.2">
      <c r="C110" s="64"/>
    </row>
    <row r="111" spans="1:16" s="47" customFormat="1" ht="11.4" x14ac:dyDescent="0.2">
      <c r="C111" s="64"/>
    </row>
    <row r="112" spans="1:16" s="47" customFormat="1" ht="11.4" x14ac:dyDescent="0.2">
      <c r="C112" s="64"/>
    </row>
    <row r="113" spans="3:3" s="47" customFormat="1" ht="11.4" x14ac:dyDescent="0.2">
      <c r="C113" s="64"/>
    </row>
    <row r="114" spans="3:3" s="47" customFormat="1" ht="11.4" x14ac:dyDescent="0.2">
      <c r="C114" s="64"/>
    </row>
    <row r="115" spans="3:3" s="47" customFormat="1" ht="11.4" x14ac:dyDescent="0.2">
      <c r="C115" s="64"/>
    </row>
    <row r="116" spans="3:3" s="47" customFormat="1" ht="11.4" x14ac:dyDescent="0.2">
      <c r="C116" s="64"/>
    </row>
    <row r="117" spans="3:3" s="47" customFormat="1" ht="11.4" x14ac:dyDescent="0.2">
      <c r="C117" s="64"/>
    </row>
    <row r="118" spans="3:3" s="47" customFormat="1" ht="11.4" x14ac:dyDescent="0.2">
      <c r="C118" s="64"/>
    </row>
    <row r="119" spans="3:3" s="47" customFormat="1" ht="11.4" x14ac:dyDescent="0.2">
      <c r="C119" s="64"/>
    </row>
    <row r="120" spans="3:3" s="47" customFormat="1" ht="11.4" x14ac:dyDescent="0.2">
      <c r="C120" s="64"/>
    </row>
    <row r="121" spans="3:3" s="47" customFormat="1" ht="11.4" x14ac:dyDescent="0.2">
      <c r="C121" s="64"/>
    </row>
    <row r="122" spans="3:3" s="47" customFormat="1" ht="11.4" x14ac:dyDescent="0.2">
      <c r="C122" s="64"/>
    </row>
    <row r="123" spans="3:3" s="47" customFormat="1" ht="11.4" x14ac:dyDescent="0.2">
      <c r="C123" s="64"/>
    </row>
    <row r="124" spans="3:3" s="47" customFormat="1" ht="11.4" x14ac:dyDescent="0.2">
      <c r="C124" s="64"/>
    </row>
    <row r="125" spans="3:3" s="47" customFormat="1" ht="11.4" x14ac:dyDescent="0.2">
      <c r="C125" s="64"/>
    </row>
    <row r="126" spans="3:3" s="47" customFormat="1" ht="11.4" x14ac:dyDescent="0.2">
      <c r="C126" s="64"/>
    </row>
    <row r="127" spans="3:3" s="47" customFormat="1" ht="11.4" x14ac:dyDescent="0.2">
      <c r="C127" s="64"/>
    </row>
    <row r="128" spans="3:3" s="47" customFormat="1" ht="11.4" x14ac:dyDescent="0.2">
      <c r="C128" s="64"/>
    </row>
    <row r="129" spans="3:3" s="47" customFormat="1" ht="11.4" x14ac:dyDescent="0.2">
      <c r="C129" s="64"/>
    </row>
    <row r="130" spans="3:3" s="47" customFormat="1" ht="11.4" x14ac:dyDescent="0.2">
      <c r="C130" s="64"/>
    </row>
    <row r="131" spans="3:3" s="47" customFormat="1" ht="11.4" x14ac:dyDescent="0.2">
      <c r="C131" s="64"/>
    </row>
    <row r="132" spans="3:3" s="47" customFormat="1" ht="11.4" x14ac:dyDescent="0.2">
      <c r="C132" s="64"/>
    </row>
    <row r="133" spans="3:3" s="47" customFormat="1" ht="11.4" x14ac:dyDescent="0.2">
      <c r="C133" s="64"/>
    </row>
    <row r="134" spans="3:3" s="47" customFormat="1" ht="11.4" x14ac:dyDescent="0.2">
      <c r="C134" s="64"/>
    </row>
    <row r="135" spans="3:3" s="47" customFormat="1" ht="11.4" x14ac:dyDescent="0.2">
      <c r="C135" s="64"/>
    </row>
    <row r="136" spans="3:3" s="47" customFormat="1" ht="11.4" x14ac:dyDescent="0.2">
      <c r="C136" s="64"/>
    </row>
    <row r="137" spans="3:3" s="47" customFormat="1" ht="11.4" x14ac:dyDescent="0.2">
      <c r="C137" s="64"/>
    </row>
    <row r="138" spans="3:3" s="47" customFormat="1" ht="11.4" x14ac:dyDescent="0.2">
      <c r="C138" s="64"/>
    </row>
    <row r="139" spans="3:3" s="47" customFormat="1" ht="11.4" x14ac:dyDescent="0.2">
      <c r="C139" s="64"/>
    </row>
    <row r="140" spans="3:3" s="47" customFormat="1" ht="11.4" x14ac:dyDescent="0.2">
      <c r="C140" s="64"/>
    </row>
    <row r="141" spans="3:3" s="47" customFormat="1" ht="11.4" x14ac:dyDescent="0.2">
      <c r="C141" s="64"/>
    </row>
    <row r="142" spans="3:3" s="47" customFormat="1" ht="11.4" x14ac:dyDescent="0.2">
      <c r="C142" s="64"/>
    </row>
    <row r="143" spans="3:3" s="47" customFormat="1" ht="11.4" x14ac:dyDescent="0.2">
      <c r="C143" s="64"/>
    </row>
    <row r="144" spans="3:3" s="47" customFormat="1" ht="11.4" x14ac:dyDescent="0.2">
      <c r="C144" s="64"/>
    </row>
    <row r="145" spans="3:3" s="47" customFormat="1" ht="11.4" x14ac:dyDescent="0.2">
      <c r="C145" s="64"/>
    </row>
    <row r="146" spans="3:3" s="47" customFormat="1" ht="11.4" x14ac:dyDescent="0.2">
      <c r="C146" s="64"/>
    </row>
    <row r="147" spans="3:3" s="47" customFormat="1" ht="11.4" x14ac:dyDescent="0.2">
      <c r="C147" s="64"/>
    </row>
    <row r="148" spans="3:3" s="47" customFormat="1" ht="11.4" x14ac:dyDescent="0.2">
      <c r="C148" s="64"/>
    </row>
    <row r="149" spans="3:3" s="47" customFormat="1" ht="11.4" x14ac:dyDescent="0.2">
      <c r="C149" s="64"/>
    </row>
    <row r="150" spans="3:3" s="47" customFormat="1" ht="11.4" x14ac:dyDescent="0.2">
      <c r="C150" s="64"/>
    </row>
    <row r="151" spans="3:3" s="47" customFormat="1" ht="11.4" x14ac:dyDescent="0.2">
      <c r="C151" s="64"/>
    </row>
    <row r="152" spans="3:3" s="47" customFormat="1" ht="11.4" x14ac:dyDescent="0.2">
      <c r="C152" s="64"/>
    </row>
    <row r="153" spans="3:3" s="47" customFormat="1" ht="11.4" x14ac:dyDescent="0.2">
      <c r="C153" s="64"/>
    </row>
    <row r="154" spans="3:3" s="47" customFormat="1" ht="11.4" x14ac:dyDescent="0.2">
      <c r="C154" s="64"/>
    </row>
    <row r="155" spans="3:3" s="47" customFormat="1" ht="11.4" x14ac:dyDescent="0.2">
      <c r="C155" s="64"/>
    </row>
    <row r="156" spans="3:3" s="47" customFormat="1" ht="11.4" x14ac:dyDescent="0.2">
      <c r="C156" s="64"/>
    </row>
    <row r="157" spans="3:3" s="47" customFormat="1" ht="11.4" x14ac:dyDescent="0.2">
      <c r="C157" s="64"/>
    </row>
    <row r="158" spans="3:3" s="47" customFormat="1" ht="11.4" x14ac:dyDescent="0.2">
      <c r="C158" s="64"/>
    </row>
    <row r="159" spans="3:3" s="47" customFormat="1" ht="11.4" x14ac:dyDescent="0.2">
      <c r="C159" s="64"/>
    </row>
    <row r="160" spans="3:3" s="47" customFormat="1" ht="11.4" x14ac:dyDescent="0.2">
      <c r="C160" s="64"/>
    </row>
    <row r="161" spans="3:3" s="47" customFormat="1" ht="11.4" x14ac:dyDescent="0.2">
      <c r="C161" s="64"/>
    </row>
    <row r="162" spans="3:3" s="47" customFormat="1" ht="11.4" x14ac:dyDescent="0.2">
      <c r="C162" s="64"/>
    </row>
    <row r="163" spans="3:3" s="47" customFormat="1" ht="11.4" x14ac:dyDescent="0.2">
      <c r="C163" s="64"/>
    </row>
    <row r="164" spans="3:3" s="47" customFormat="1" ht="11.4" x14ac:dyDescent="0.2">
      <c r="C164" s="64"/>
    </row>
    <row r="165" spans="3:3" s="47" customFormat="1" ht="11.4" x14ac:dyDescent="0.2">
      <c r="C165" s="64"/>
    </row>
    <row r="166" spans="3:3" s="47" customFormat="1" ht="11.4" x14ac:dyDescent="0.2">
      <c r="C166" s="64"/>
    </row>
    <row r="167" spans="3:3" s="47" customFormat="1" ht="11.4" x14ac:dyDescent="0.2">
      <c r="C167" s="64"/>
    </row>
    <row r="168" spans="3:3" s="47" customFormat="1" ht="11.4" x14ac:dyDescent="0.2">
      <c r="C168" s="64"/>
    </row>
    <row r="169" spans="3:3" s="47" customFormat="1" ht="11.4" x14ac:dyDescent="0.2">
      <c r="C169" s="64"/>
    </row>
    <row r="170" spans="3:3" s="47" customFormat="1" ht="11.4" x14ac:dyDescent="0.2">
      <c r="C170" s="64"/>
    </row>
    <row r="171" spans="3:3" s="47" customFormat="1" ht="11.4" x14ac:dyDescent="0.2">
      <c r="C171" s="64"/>
    </row>
    <row r="172" spans="3:3" s="47" customFormat="1" ht="11.4" x14ac:dyDescent="0.2">
      <c r="C172" s="64"/>
    </row>
    <row r="173" spans="3:3" s="47" customFormat="1" ht="11.4" x14ac:dyDescent="0.2">
      <c r="C173" s="64"/>
    </row>
    <row r="174" spans="3:3" s="47" customFormat="1" ht="11.4" x14ac:dyDescent="0.2">
      <c r="C174" s="64"/>
    </row>
    <row r="175" spans="3:3" s="47" customFormat="1" ht="11.4" x14ac:dyDescent="0.2">
      <c r="C175" s="64"/>
    </row>
    <row r="176" spans="3:3" s="47" customFormat="1" ht="11.4" x14ac:dyDescent="0.2">
      <c r="C176" s="64"/>
    </row>
    <row r="177" spans="3:3" s="47" customFormat="1" ht="11.4" x14ac:dyDescent="0.2">
      <c r="C177" s="64"/>
    </row>
    <row r="178" spans="3:3" s="47" customFormat="1" ht="11.4" x14ac:dyDescent="0.2">
      <c r="C178" s="64"/>
    </row>
    <row r="179" spans="3:3" s="47" customFormat="1" ht="11.4" x14ac:dyDescent="0.2">
      <c r="C179" s="64"/>
    </row>
    <row r="180" spans="3:3" s="47" customFormat="1" ht="11.4" x14ac:dyDescent="0.2">
      <c r="C180" s="64"/>
    </row>
    <row r="181" spans="3:3" s="47" customFormat="1" ht="11.4" x14ac:dyDescent="0.2">
      <c r="C181" s="64"/>
    </row>
    <row r="182" spans="3:3" s="47" customFormat="1" ht="11.4" x14ac:dyDescent="0.2">
      <c r="C182" s="64"/>
    </row>
    <row r="183" spans="3:3" s="47" customFormat="1" ht="11.4" x14ac:dyDescent="0.2">
      <c r="C183" s="64"/>
    </row>
    <row r="184" spans="3:3" s="47" customFormat="1" ht="11.4" x14ac:dyDescent="0.2">
      <c r="C184" s="64"/>
    </row>
    <row r="185" spans="3:3" s="47" customFormat="1" ht="11.4" x14ac:dyDescent="0.2">
      <c r="C185" s="64"/>
    </row>
    <row r="186" spans="3:3" s="47" customFormat="1" ht="11.4" x14ac:dyDescent="0.2">
      <c r="C186" s="64"/>
    </row>
    <row r="187" spans="3:3" s="47" customFormat="1" ht="11.4" x14ac:dyDescent="0.2">
      <c r="C187" s="64"/>
    </row>
    <row r="188" spans="3:3" s="47" customFormat="1" ht="11.4" x14ac:dyDescent="0.2">
      <c r="C188" s="64"/>
    </row>
    <row r="189" spans="3:3" s="47" customFormat="1" ht="11.4" x14ac:dyDescent="0.2">
      <c r="C189" s="64"/>
    </row>
    <row r="190" spans="3:3" s="47" customFormat="1" ht="11.4" x14ac:dyDescent="0.2">
      <c r="C190" s="64"/>
    </row>
    <row r="191" spans="3:3" s="47" customFormat="1" ht="11.4" x14ac:dyDescent="0.2">
      <c r="C191" s="64"/>
    </row>
    <row r="192" spans="3:3" s="47" customFormat="1" ht="11.4" x14ac:dyDescent="0.2">
      <c r="C192" s="64"/>
    </row>
    <row r="193" spans="3:3" s="47" customFormat="1" ht="11.4" x14ac:dyDescent="0.2">
      <c r="C193" s="64"/>
    </row>
    <row r="194" spans="3:3" s="47" customFormat="1" ht="11.4" x14ac:dyDescent="0.2">
      <c r="C194" s="64"/>
    </row>
    <row r="195" spans="3:3" s="47" customFormat="1" ht="11.4" x14ac:dyDescent="0.2">
      <c r="C195" s="64"/>
    </row>
    <row r="196" spans="3:3" s="47" customFormat="1" ht="11.4" x14ac:dyDescent="0.2">
      <c r="C196" s="64"/>
    </row>
    <row r="197" spans="3:3" s="47" customFormat="1" ht="11.4" x14ac:dyDescent="0.2">
      <c r="C197" s="64"/>
    </row>
    <row r="198" spans="3:3" s="47" customFormat="1" ht="11.4" x14ac:dyDescent="0.2">
      <c r="C198" s="64"/>
    </row>
    <row r="199" spans="3:3" s="47" customFormat="1" ht="11.4" x14ac:dyDescent="0.2">
      <c r="C199" s="64"/>
    </row>
    <row r="200" spans="3:3" s="47" customFormat="1" ht="11.4" x14ac:dyDescent="0.2">
      <c r="C200" s="64"/>
    </row>
    <row r="201" spans="3:3" s="47" customFormat="1" ht="11.4" x14ac:dyDescent="0.2">
      <c r="C201" s="64"/>
    </row>
    <row r="202" spans="3:3" s="47" customFormat="1" ht="11.4" x14ac:dyDescent="0.2">
      <c r="C202" s="64"/>
    </row>
    <row r="203" spans="3:3" s="47" customFormat="1" ht="11.4" x14ac:dyDescent="0.2">
      <c r="C203" s="64"/>
    </row>
    <row r="204" spans="3:3" s="47" customFormat="1" ht="11.4" x14ac:dyDescent="0.2">
      <c r="C204" s="64"/>
    </row>
    <row r="205" spans="3:3" s="47" customFormat="1" ht="11.4" x14ac:dyDescent="0.2">
      <c r="C205" s="64"/>
    </row>
    <row r="206" spans="3:3" s="47" customFormat="1" ht="11.4" x14ac:dyDescent="0.2">
      <c r="C206" s="64"/>
    </row>
    <row r="207" spans="3:3" s="47" customFormat="1" ht="11.4" x14ac:dyDescent="0.2">
      <c r="C207" s="64"/>
    </row>
    <row r="208" spans="3:3" s="47" customFormat="1" ht="11.4" x14ac:dyDescent="0.2">
      <c r="C208" s="64"/>
    </row>
    <row r="209" spans="3:3" s="47" customFormat="1" ht="11.4" x14ac:dyDescent="0.2">
      <c r="C209" s="64"/>
    </row>
    <row r="210" spans="3:3" s="47" customFormat="1" ht="11.4" x14ac:dyDescent="0.2">
      <c r="C210" s="64"/>
    </row>
    <row r="211" spans="3:3" s="47" customFormat="1" ht="11.4" x14ac:dyDescent="0.2">
      <c r="C211" s="64"/>
    </row>
    <row r="212" spans="3:3" s="47" customFormat="1" ht="11.4" x14ac:dyDescent="0.2">
      <c r="C212" s="64"/>
    </row>
    <row r="213" spans="3:3" s="47" customFormat="1" ht="11.4" x14ac:dyDescent="0.2">
      <c r="C213" s="64"/>
    </row>
    <row r="214" spans="3:3" s="47" customFormat="1" ht="11.4" x14ac:dyDescent="0.2">
      <c r="C214" s="64"/>
    </row>
    <row r="215" spans="3:3" s="47" customFormat="1" ht="11.4" x14ac:dyDescent="0.2">
      <c r="C215" s="64"/>
    </row>
    <row r="216" spans="3:3" s="47" customFormat="1" ht="11.4" x14ac:dyDescent="0.2">
      <c r="C216" s="64"/>
    </row>
    <row r="217" spans="3:3" s="47" customFormat="1" ht="11.4" x14ac:dyDescent="0.2">
      <c r="C217" s="64"/>
    </row>
    <row r="218" spans="3:3" s="47" customFormat="1" ht="11.4" x14ac:dyDescent="0.2">
      <c r="C218" s="64"/>
    </row>
    <row r="219" spans="3:3" s="47" customFormat="1" ht="11.4" x14ac:dyDescent="0.2">
      <c r="C219" s="64"/>
    </row>
    <row r="220" spans="3:3" s="47" customFormat="1" ht="11.4" x14ac:dyDescent="0.2">
      <c r="C220" s="64"/>
    </row>
    <row r="221" spans="3:3" s="47" customFormat="1" ht="11.4" x14ac:dyDescent="0.2">
      <c r="C221" s="64"/>
    </row>
    <row r="222" spans="3:3" s="47" customFormat="1" ht="11.4" x14ac:dyDescent="0.2">
      <c r="C222" s="64"/>
    </row>
    <row r="223" spans="3:3" s="47" customFormat="1" ht="11.4" x14ac:dyDescent="0.2">
      <c r="C223" s="64"/>
    </row>
    <row r="224" spans="3:3" s="47" customFormat="1" ht="11.4" x14ac:dyDescent="0.2">
      <c r="C224" s="64"/>
    </row>
    <row r="225" spans="3:3" s="47" customFormat="1" ht="11.4" x14ac:dyDescent="0.2">
      <c r="C225" s="64"/>
    </row>
    <row r="226" spans="3:3" s="47" customFormat="1" ht="11.4" x14ac:dyDescent="0.2">
      <c r="C226" s="64"/>
    </row>
    <row r="227" spans="3:3" s="47" customFormat="1" ht="11.4" x14ac:dyDescent="0.2">
      <c r="C227" s="64"/>
    </row>
    <row r="228" spans="3:3" s="47" customFormat="1" ht="11.4" x14ac:dyDescent="0.2">
      <c r="C228" s="64"/>
    </row>
    <row r="229" spans="3:3" s="47" customFormat="1" ht="11.4" x14ac:dyDescent="0.2">
      <c r="C229" s="64"/>
    </row>
    <row r="230" spans="3:3" s="47" customFormat="1" ht="11.4" x14ac:dyDescent="0.2">
      <c r="C230" s="64"/>
    </row>
    <row r="231" spans="3:3" s="47" customFormat="1" ht="11.4" x14ac:dyDescent="0.2">
      <c r="C231" s="64"/>
    </row>
    <row r="232" spans="3:3" s="47" customFormat="1" ht="11.4" x14ac:dyDescent="0.2">
      <c r="C232" s="64"/>
    </row>
    <row r="233" spans="3:3" s="47" customFormat="1" ht="11.4" x14ac:dyDescent="0.2">
      <c r="C233" s="64"/>
    </row>
    <row r="234" spans="3:3" s="47" customFormat="1" ht="11.4" x14ac:dyDescent="0.2">
      <c r="C234" s="64"/>
    </row>
    <row r="235" spans="3:3" s="47" customFormat="1" ht="11.4" x14ac:dyDescent="0.2">
      <c r="C235" s="64"/>
    </row>
    <row r="236" spans="3:3" s="47" customFormat="1" ht="11.4" x14ac:dyDescent="0.2">
      <c r="C236" s="64"/>
    </row>
    <row r="237" spans="3:3" s="47" customFormat="1" ht="11.4" x14ac:dyDescent="0.2">
      <c r="C237" s="64"/>
    </row>
    <row r="238" spans="3:3" s="47" customFormat="1" ht="11.4" x14ac:dyDescent="0.2">
      <c r="C238" s="64"/>
    </row>
    <row r="239" spans="3:3" s="47" customFormat="1" ht="11.4" x14ac:dyDescent="0.2">
      <c r="C239" s="64"/>
    </row>
    <row r="240" spans="3:3" s="47" customFormat="1" ht="11.4" x14ac:dyDescent="0.2">
      <c r="C240" s="64"/>
    </row>
    <row r="241" spans="3:3" s="47" customFormat="1" ht="11.4" x14ac:dyDescent="0.2">
      <c r="C241" s="64"/>
    </row>
    <row r="242" spans="3:3" s="47" customFormat="1" ht="11.4" x14ac:dyDescent="0.2">
      <c r="C242" s="64"/>
    </row>
    <row r="243" spans="3:3" s="47" customFormat="1" ht="11.4" x14ac:dyDescent="0.2">
      <c r="C243" s="64"/>
    </row>
    <row r="244" spans="3:3" s="47" customFormat="1" ht="11.4" x14ac:dyDescent="0.2">
      <c r="C244" s="64"/>
    </row>
    <row r="245" spans="3:3" s="47" customFormat="1" ht="11.4" x14ac:dyDescent="0.2">
      <c r="C245" s="64"/>
    </row>
    <row r="246" spans="3:3" s="47" customFormat="1" ht="11.4" x14ac:dyDescent="0.2">
      <c r="C246" s="64"/>
    </row>
    <row r="247" spans="3:3" s="47" customFormat="1" ht="11.4" x14ac:dyDescent="0.2">
      <c r="C247" s="64"/>
    </row>
    <row r="248" spans="3:3" s="47" customFormat="1" ht="11.4" x14ac:dyDescent="0.2">
      <c r="C248" s="64"/>
    </row>
    <row r="249" spans="3:3" s="47" customFormat="1" ht="11.4" x14ac:dyDescent="0.2">
      <c r="C249" s="64"/>
    </row>
    <row r="250" spans="3:3" s="47" customFormat="1" ht="11.4" x14ac:dyDescent="0.2">
      <c r="C250" s="64"/>
    </row>
  </sheetData>
  <mergeCells count="12">
    <mergeCell ref="A4:P4"/>
    <mergeCell ref="A5:P5"/>
    <mergeCell ref="A6:A8"/>
    <mergeCell ref="B6:B8"/>
    <mergeCell ref="C6:O6"/>
    <mergeCell ref="P6:P8"/>
    <mergeCell ref="C7:O7"/>
    <mergeCell ref="A98:B98"/>
    <mergeCell ref="A99:H99"/>
    <mergeCell ref="I99:P99"/>
    <mergeCell ref="B100:D100"/>
    <mergeCell ref="J100:L100"/>
  </mergeCells>
  <printOptions horizontalCentered="1" verticalCentered="1"/>
  <pageMargins left="0" right="0" top="0" bottom="0" header="0" footer="0"/>
  <pageSetup paperSize="9" scale="5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I.2.14</vt:lpstr>
      <vt:lpstr>TABLO-1.12</vt:lpstr>
      <vt:lpstr>TABLO-1.13</vt:lpstr>
      <vt:lpstr>I.2.14!Print_Area</vt:lpstr>
      <vt:lpstr>'TABLO-1.12'!Print_Area</vt:lpstr>
      <vt:lpstr>'TABLO-1.13'!Print_Area</vt:lpstr>
    </vt:vector>
  </TitlesOfParts>
  <Company>ISKUR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Güler ÇUHADAROĞLU</dc:creator>
  <cp:lastModifiedBy>Kamuran Coşar</cp:lastModifiedBy>
  <dcterms:created xsi:type="dcterms:W3CDTF">2026-03-29T13:04:33Z</dcterms:created>
  <dcterms:modified xsi:type="dcterms:W3CDTF">2026-03-29T13:16:14Z</dcterms:modified>
</cp:coreProperties>
</file>